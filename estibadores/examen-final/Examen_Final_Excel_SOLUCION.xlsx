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Corrección" sheetId="2" state="visible" r:id="rId2"/>
    <sheet xmlns:r="http://schemas.openxmlformats.org/officeDocument/2006/relationships" name="1 Formato" sheetId="3" state="visible" r:id="rId3"/>
    <sheet xmlns:r="http://schemas.openxmlformats.org/officeDocument/2006/relationships" name="2 Formatos número" sheetId="4" state="visible" r:id="rId4"/>
    <sheet xmlns:r="http://schemas.openxmlformats.org/officeDocument/2006/relationships" name="3 Formato condicional" sheetId="5" state="visible" r:id="rId5"/>
    <sheet xmlns:r="http://schemas.openxmlformats.org/officeDocument/2006/relationships" name="4 Autosuma" sheetId="6" state="visible" r:id="rId6"/>
    <sheet xmlns:r="http://schemas.openxmlformats.org/officeDocument/2006/relationships" name="5 Ordenar y filtrar" sheetId="7" state="visible" r:id="rId7"/>
    <sheet xmlns:r="http://schemas.openxmlformats.org/officeDocument/2006/relationships" name="6 SI (nota)" sheetId="8" state="visible" r:id="rId8"/>
    <sheet xmlns:r="http://schemas.openxmlformats.org/officeDocument/2006/relationships" name="7 Filtro avanzado (nota)" sheetId="9" state="visible" r:id="rId9"/>
  </sheets>
  <definedNames>
    <definedName name="_xlnm._FilterDatabase" localSheetId="6" hidden="1">'5 Ordenar y filtrar'!$A$7:$F$27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/yyyy"/>
    <numFmt numFmtId="166" formatCode="hh:mm"/>
    <numFmt numFmtId="167" formatCode="#,##0.00 &quot;€&quot;"/>
    <numFmt numFmtId="168" formatCode="0.0%"/>
    <numFmt numFmtId="169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C00000"/>
      <sz val="10"/>
    </font>
    <font>
      <name val="Arial"/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0" fillId="2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4" borderId="1" pivotButton="0" quotePrefix="0" xfId="0"/>
    <xf numFmtId="0" fontId="4" fillId="0" borderId="1" pivotButton="0" quotePrefix="0" xfId="0"/>
    <xf numFmtId="0" fontId="8" fillId="0" borderId="0" applyAlignment="1" pivotButton="0" quotePrefix="0" xfId="0">
      <alignment horizontal="center"/>
    </xf>
    <xf numFmtId="0" fontId="6" fillId="5" borderId="1" pivotButton="0" quotePrefix="0" xfId="0"/>
    <xf numFmtId="0" fontId="7" fillId="0" borderId="0" pivotButton="0" quotePrefix="0" xfId="0"/>
    <xf numFmtId="0" fontId="5" fillId="0" borderId="0" pivotButton="0" quotePrefix="0" xfId="0"/>
    <xf numFmtId="165" fontId="5" fillId="2" borderId="1" pivotButton="0" quotePrefix="0" xfId="0"/>
    <xf numFmtId="166" fontId="5" fillId="2" borderId="1" pivotButton="0" quotePrefix="0" xfId="0"/>
    <xf numFmtId="3" fontId="5" fillId="2" borderId="1" pivotButton="0" quotePrefix="0" xfId="0"/>
    <xf numFmtId="167" fontId="5" fillId="2" borderId="1" pivotButton="0" quotePrefix="0" xfId="0"/>
    <xf numFmtId="168" fontId="5" fillId="2" borderId="1" pivotButton="0" quotePrefix="0" xfId="0"/>
    <xf numFmtId="169" fontId="5" fillId="2" borderId="1" pivotButton="0" quotePrefix="0" xfId="0"/>
    <xf numFmtId="0" fontId="6" fillId="3" borderId="1" applyAlignment="1" pivotButton="0" quotePrefix="0" xfId="0">
      <alignment horizontal="center"/>
    </xf>
    <xf numFmtId="165" fontId="5" fillId="0" borderId="1" pivotButton="0" quotePrefix="0" xfId="0"/>
    <xf numFmtId="0" fontId="2" fillId="0" borderId="1" pivotButton="0" quotePrefix="0" xfId="0"/>
    <xf numFmtId="0" fontId="5" fillId="2" borderId="1" applyAlignment="1" pivotButton="0" quotePrefix="0" xfId="0">
      <alignment horizontal="center"/>
    </xf>
    <xf numFmtId="0" fontId="6" fillId="3" borderId="1" pivotButton="0" quotePrefix="0" xfId="0"/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dxfs count="2">
    <dxf>
      <font>
        <color rgb="009C0006"/>
      </font>
      <fill>
        <patternFill patternType="solid">
          <bgColor rgb="00FFC7CE"/>
        </patternFill>
      </fill>
    </dxf>
    <dxf>
      <font>
        <color rgb="009C5700"/>
      </font>
      <fill>
        <patternFill patternType="solid"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</cols>
  <sheetData>
    <row r="1">
      <c r="A1" s="1" t="inlineStr">
        <is>
          <t>EXAMEN FINAL · PRÁCTICO DE EXCEL — Puerto de Tarragona</t>
        </is>
      </c>
    </row>
    <row r="2">
      <c r="A2" s="2" t="inlineStr">
        <is>
          <t>Cada pestaña es un ejercicio con sus instrucciones arriba. Las celdas AMARILLAS son las que tienes que rellenar.</t>
        </is>
      </c>
    </row>
    <row r="3">
      <c r="A3" s="3" t="inlineStr">
        <is>
          <t>Haz los ejercicios 1 a 5 en orden. Los ejercicios 6 y 7 son PARA SUBIR NOTA: déjalos para el final.</t>
        </is>
      </c>
    </row>
    <row r="4">
      <c r="A4" s="2" t="inlineStr">
        <is>
          <t>Al terminar, guarda el archivo con tu nombre (Archivo &gt; Guardar como).</t>
        </is>
      </c>
    </row>
    <row r="6">
      <c r="A6" s="4" t="inlineStr">
        <is>
          <t>Nombre y apellidos:</t>
        </is>
      </c>
      <c r="B6" s="5" t="n"/>
      <c r="C6" s="6" t="n"/>
    </row>
    <row r="8">
      <c r="A8" s="7" t="inlineStr">
        <is>
          <t>Ejercicio</t>
        </is>
      </c>
      <c r="B8" s="7" t="inlineStr">
        <is>
          <t>Contenido</t>
        </is>
      </c>
      <c r="C8" s="7" t="inlineStr">
        <is>
          <t>Puntos</t>
        </is>
      </c>
    </row>
    <row r="9">
      <c r="A9" s="8" t="inlineStr">
        <is>
          <t>1</t>
        </is>
      </c>
      <c r="B9" s="8" t="inlineStr">
        <is>
          <t>Copiar y formato de celdas</t>
        </is>
      </c>
      <c r="C9" s="8" t="n">
        <v>2</v>
      </c>
    </row>
    <row r="10">
      <c r="A10" s="8" t="inlineStr">
        <is>
          <t>2</t>
        </is>
      </c>
      <c r="B10" s="8" t="inlineStr">
        <is>
          <t>Formatos de número</t>
        </is>
      </c>
      <c r="C10" s="8" t="n">
        <v>1.5</v>
      </c>
    </row>
    <row r="11">
      <c r="A11" s="8" t="inlineStr">
        <is>
          <t>3</t>
        </is>
      </c>
      <c r="B11" s="8" t="inlineStr">
        <is>
          <t>Formato condicional</t>
        </is>
      </c>
      <c r="C11" s="8" t="n">
        <v>1.5</v>
      </c>
    </row>
    <row r="12">
      <c r="A12" s="8" t="inlineStr">
        <is>
          <t>4</t>
        </is>
      </c>
      <c r="B12" s="8" t="inlineStr">
        <is>
          <t>Autosuma: SUMA, PROMEDIO, MÁX y CONTAR</t>
        </is>
      </c>
      <c r="C12" s="8" t="n">
        <v>2</v>
      </c>
    </row>
    <row r="13">
      <c r="A13" s="8" t="inlineStr">
        <is>
          <t>5</t>
        </is>
      </c>
      <c r="B13" s="8" t="inlineStr">
        <is>
          <t>Ordenar y filtrar</t>
        </is>
      </c>
      <c r="C13" s="8" t="n">
        <v>1</v>
      </c>
    </row>
    <row r="14">
      <c r="A14" s="9" t="inlineStr">
        <is>
          <t>6</t>
        </is>
      </c>
      <c r="B14" s="9" t="inlineStr">
        <is>
          <t>PARA NOTA · Función SI</t>
        </is>
      </c>
      <c r="C14" s="9" t="n">
        <v>1</v>
      </c>
    </row>
    <row r="15">
      <c r="A15" s="9" t="inlineStr">
        <is>
          <t>7</t>
        </is>
      </c>
      <c r="B15" s="9" t="inlineStr">
        <is>
          <t>PARA NOTA · Filtro avanzado</t>
        </is>
      </c>
      <c r="C15" s="9" t="n">
        <v>1</v>
      </c>
    </row>
    <row r="16">
      <c r="B16" s="10" t="inlineStr">
        <is>
          <t>TOTAL</t>
        </is>
      </c>
      <c r="C16" s="10">
        <f>SUM(C9:C15)</f>
        <v/>
      </c>
    </row>
  </sheetData>
  <mergeCells count="1">
    <mergeCell ref="B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8" customWidth="1" min="3" max="3"/>
    <col width="62" customWidth="1" min="4" max="4"/>
    <col width="8" customWidth="1" min="5" max="5"/>
  </cols>
  <sheetData>
    <row r="1">
      <c r="A1" s="1" t="inlineStr">
        <is>
          <t>HOJA DE CORRECCIÓN · Examen final práctico de Excel</t>
        </is>
      </c>
    </row>
    <row r="2">
      <c r="A2" s="2" t="inlineStr">
        <is>
          <t>Escribe en 'Nota' la puntuación de cada tarea (0 / la mitad / completa). La suma es automática.</t>
        </is>
      </c>
    </row>
    <row r="4">
      <c r="A4" s="7" t="inlineStr">
        <is>
          <t>Ej.</t>
        </is>
      </c>
      <c r="B4" s="7" t="inlineStr">
        <is>
          <t>Tarea</t>
        </is>
      </c>
      <c r="C4" s="7" t="inlineStr">
        <is>
          <t>Puntos</t>
        </is>
      </c>
      <c r="D4" s="7" t="inlineStr">
        <is>
          <t>Solución / qué mirar</t>
        </is>
      </c>
      <c r="E4" s="7" t="inlineStr">
        <is>
          <t>Nota</t>
        </is>
      </c>
    </row>
    <row r="5">
      <c r="A5" s="8" t="inlineStr">
        <is>
          <t>1</t>
        </is>
      </c>
      <c r="B5" s="8" t="inlineStr">
        <is>
          <t>T1 Copiar la fila pendiente</t>
        </is>
      </c>
      <c r="C5" s="8" t="n">
        <v>0.4</v>
      </c>
      <c r="D5" s="8" t="inlineStr">
        <is>
          <t>Sílvia Rius dentro de la tabla (fila 17)</t>
        </is>
      </c>
      <c r="E5" s="5" t="n"/>
    </row>
    <row r="6">
      <c r="A6" s="8" t="inlineStr">
        <is>
          <t>1</t>
        </is>
      </c>
      <c r="B6" s="8" t="inlineStr">
        <is>
          <t>T2 Título combinado, negrita, 14, azul</t>
        </is>
      </c>
      <c r="C6" s="8" t="n">
        <v>0.4</v>
      </c>
      <c r="D6" s="8" t="inlineStr">
        <is>
          <t>0,2 si falta combinar o el formato</t>
        </is>
      </c>
      <c r="E6" s="5" t="n"/>
    </row>
    <row r="7">
      <c r="A7" s="8" t="inlineStr">
        <is>
          <t>1</t>
        </is>
      </c>
      <c r="B7" s="8" t="inlineStr">
        <is>
          <t>T3 Títulos de columna blanco sobre azul y negrita</t>
        </is>
      </c>
      <c r="C7" s="8" t="n">
        <v>0.4</v>
      </c>
      <c r="D7" s="8" t="inlineStr"/>
      <c r="E7" s="5" t="n"/>
    </row>
    <row r="8">
      <c r="A8" s="8" t="inlineStr">
        <is>
          <t>1</t>
        </is>
      </c>
      <c r="B8" s="8" t="inlineStr">
        <is>
          <t>T4 Todos los bordes</t>
        </is>
      </c>
      <c r="C8" s="8" t="n">
        <v>0.4</v>
      </c>
      <c r="D8" s="8" t="inlineStr">
        <is>
          <t>A11:E17</t>
        </is>
      </c>
      <c r="E8" s="5" t="n"/>
    </row>
    <row r="9">
      <c r="A9" s="8" t="inlineStr">
        <is>
          <t>1</t>
        </is>
      </c>
      <c r="B9" s="8" t="inlineStr">
        <is>
          <t>T5 Ancho de columnas ajustado</t>
        </is>
      </c>
      <c r="C9" s="8" t="n">
        <v>0.4</v>
      </c>
      <c r="D9" s="8" t="inlineStr">
        <is>
          <t>Sin texto cortado</t>
        </is>
      </c>
      <c r="E9" s="5" t="n"/>
    </row>
    <row r="10">
      <c r="A10" s="8" t="inlineStr">
        <is>
          <t>2</t>
        </is>
      </c>
      <c r="B10" s="8" t="inlineStr">
        <is>
          <t>T1 Fecha corta</t>
        </is>
      </c>
      <c r="C10" s="8" t="n">
        <v>0.3</v>
      </c>
      <c r="D10" s="8" t="inlineStr">
        <is>
          <t>02/10/2026</t>
        </is>
      </c>
      <c r="E10" s="5" t="n"/>
    </row>
    <row r="11">
      <c r="A11" s="8" t="inlineStr">
        <is>
          <t>2</t>
        </is>
      </c>
      <c r="B11" s="8" t="inlineStr">
        <is>
          <t>T2 Hora hh:mm</t>
        </is>
      </c>
      <c r="C11" s="8" t="n">
        <v>0.3</v>
      </c>
      <c r="D11" s="8" t="inlineStr">
        <is>
          <t>07:30</t>
        </is>
      </c>
      <c r="E11" s="5" t="n"/>
    </row>
    <row r="12">
      <c r="A12" s="8" t="inlineStr">
        <is>
          <t>2</t>
        </is>
      </c>
      <c r="B12" s="8" t="inlineStr">
        <is>
          <t>T3 Número con separador de miles</t>
        </is>
      </c>
      <c r="C12" s="8" t="n">
        <v>0.3</v>
      </c>
      <c r="D12" s="8" t="inlineStr">
        <is>
          <t>1.840</t>
        </is>
      </c>
      <c r="E12" s="5" t="n"/>
    </row>
    <row r="13">
      <c r="A13" s="8" t="inlineStr">
        <is>
          <t>2</t>
        </is>
      </c>
      <c r="B13" s="8" t="inlineStr">
        <is>
          <t>T4 Moneda 2 decimales €</t>
        </is>
      </c>
      <c r="C13" s="8" t="n">
        <v>0.3</v>
      </c>
      <c r="D13" s="8" t="inlineStr">
        <is>
          <t>67.160,00 €</t>
        </is>
      </c>
      <c r="E13" s="5" t="n"/>
    </row>
    <row r="14">
      <c r="A14" s="8" t="inlineStr">
        <is>
          <t>2</t>
        </is>
      </c>
      <c r="B14" s="8" t="inlineStr">
        <is>
          <t>T5 Porcentaje 1 decimal</t>
        </is>
      </c>
      <c r="C14" s="8" t="n">
        <v>0.3</v>
      </c>
      <c r="D14" s="8" t="inlineStr">
        <is>
          <t>68,0 %</t>
        </is>
      </c>
      <c r="E14" s="5" t="n"/>
    </row>
    <row r="15">
      <c r="A15" s="8" t="inlineStr">
        <is>
          <t>3</t>
        </is>
      </c>
      <c r="B15" s="8" t="inlineStr">
        <is>
          <t>T1 Horas &gt; 40 en rojo</t>
        </is>
      </c>
      <c r="C15" s="8" t="n">
        <v>0.5</v>
      </c>
      <c r="D15" s="8" t="inlineStr">
        <is>
          <t>5 celdas (40 exactas NO)</t>
        </is>
      </c>
      <c r="E15" s="5" t="n"/>
    </row>
    <row r="16">
      <c r="A16" s="8" t="inlineStr">
        <is>
          <t>3</t>
        </is>
      </c>
      <c r="B16" s="8" t="inlineStr">
        <is>
          <t>T2 Texto 'Noche' en amarillo</t>
        </is>
      </c>
      <c r="C16" s="8" t="n">
        <v>0.5</v>
      </c>
      <c r="D16" s="8" t="inlineStr">
        <is>
          <t>3 celdas</t>
        </is>
      </c>
      <c r="E16" s="5" t="n"/>
    </row>
    <row r="17">
      <c r="A17" s="8" t="inlineStr">
        <is>
          <t>3</t>
        </is>
      </c>
      <c r="B17" s="8" t="inlineStr">
        <is>
          <t>T3 Barras de datos</t>
        </is>
      </c>
      <c r="C17" s="8" t="n">
        <v>0.5</v>
      </c>
      <c r="D17" s="8" t="inlineStr"/>
      <c r="E17" s="5" t="n"/>
    </row>
    <row r="18">
      <c r="A18" s="8" t="inlineStr">
        <is>
          <t>4</t>
        </is>
      </c>
      <c r="B18" s="8" t="inlineStr">
        <is>
          <t>T1 SUMA</t>
        </is>
      </c>
      <c r="C18" s="8" t="n">
        <v>0.5</v>
      </c>
      <c r="D18" s="8" t="inlineStr">
        <is>
          <t>Laura Ferré = 177</t>
        </is>
      </c>
      <c r="E18" s="5" t="n"/>
    </row>
    <row r="19">
      <c r="A19" s="8" t="inlineStr">
        <is>
          <t>4</t>
        </is>
      </c>
      <c r="B19" s="8" t="inlineStr">
        <is>
          <t>T2 PROMEDIO</t>
        </is>
      </c>
      <c r="C19" s="8" t="n">
        <v>0.5</v>
      </c>
      <c r="D19" s="8" t="inlineStr">
        <is>
          <t>Laura Ferré = 44,25 (no 35,40: los días libres no cuentan)</t>
        </is>
      </c>
      <c r="E19" s="5" t="n"/>
    </row>
    <row r="20">
      <c r="A20" s="8" t="inlineStr">
        <is>
          <t>4</t>
        </is>
      </c>
      <c r="B20" s="8" t="inlineStr">
        <is>
          <t>T3 MÁXIMO</t>
        </is>
      </c>
      <c r="C20" s="8" t="n">
        <v>0.5</v>
      </c>
      <c r="D20" s="8" t="inlineStr">
        <is>
          <t>Laura Ferré = 52</t>
        </is>
      </c>
      <c r="E20" s="5" t="n"/>
    </row>
    <row r="21">
      <c r="A21" s="8" t="inlineStr">
        <is>
          <t>4</t>
        </is>
      </c>
      <c r="B21" s="8" t="inlineStr">
        <is>
          <t>T4 CONTAR números</t>
        </is>
      </c>
      <c r="C21" s="8" t="n">
        <v>0.5</v>
      </c>
      <c r="D21" s="8" t="inlineStr">
        <is>
          <t>Laura Ferré = 4</t>
        </is>
      </c>
      <c r="E21" s="5" t="n"/>
    </row>
    <row r="22">
      <c r="A22" s="8" t="inlineStr">
        <is>
          <t>5</t>
        </is>
      </c>
      <c r="B22" s="8" t="inlineStr">
        <is>
          <t>P1 Turno de Noche</t>
        </is>
      </c>
      <c r="C22" s="8" t="n">
        <v>0.25</v>
      </c>
      <c r="D22" s="8" t="inlineStr">
        <is>
          <t>10</t>
        </is>
      </c>
      <c r="E22" s="5" t="n"/>
    </row>
    <row r="23">
      <c r="A23" s="8" t="inlineStr">
        <is>
          <t>5</t>
        </is>
      </c>
      <c r="B23" s="8" t="inlineStr">
        <is>
          <t>P2 Moll de Catalunya</t>
        </is>
      </c>
      <c r="C23" s="8" t="n">
        <v>0.25</v>
      </c>
      <c r="D23" s="8" t="inlineStr">
        <is>
          <t>6</t>
        </is>
      </c>
      <c r="E23" s="5" t="n"/>
    </row>
    <row r="24">
      <c r="A24" s="8" t="inlineStr">
        <is>
          <t>5</t>
        </is>
      </c>
      <c r="B24" s="8" t="inlineStr">
        <is>
          <t>P3 Contenedores + Mañana</t>
        </is>
      </c>
      <c r="C24" s="8" t="n">
        <v>0.25</v>
      </c>
      <c r="D24" s="8" t="inlineStr">
        <is>
          <t>5</t>
        </is>
      </c>
      <c r="E24" s="5" t="n"/>
    </row>
    <row r="25">
      <c r="A25" s="8" t="inlineStr">
        <is>
          <t>5</t>
        </is>
      </c>
      <c r="B25" s="8" t="inlineStr">
        <is>
          <t>T2 Orden de mayor a menor</t>
        </is>
      </c>
      <c r="C25" s="8" t="n">
        <v>0.25</v>
      </c>
      <c r="D25" s="8" t="inlineStr">
        <is>
          <t>Primera fila: Grimaldi Roma (393)</t>
        </is>
      </c>
      <c r="E25" s="5" t="n"/>
    </row>
    <row r="26">
      <c r="A26" s="8" t="inlineStr">
        <is>
          <t>6</t>
        </is>
      </c>
      <c r="B26" s="8" t="inlineStr">
        <is>
          <t>T1 SI horas extra</t>
        </is>
      </c>
      <c r="C26" s="8" t="n">
        <v>0.5</v>
      </c>
      <c r="D26" s="8" t="inlineStr">
        <is>
          <t>SÍ en Oriol, Gerard, Sílvia, Marta · Fórmula: =SI(B9&gt;40;"SÍ";"NO")</t>
        </is>
      </c>
      <c r="E26" s="5" t="n"/>
    </row>
    <row r="27">
      <c r="A27" s="8" t="inlineStr">
        <is>
          <t>6</t>
        </is>
      </c>
      <c r="B27" s="8" t="inlineStr">
        <is>
          <t>T2 SI plus + formato moneda</t>
        </is>
      </c>
      <c r="C27" s="8" t="n">
        <v>0.5</v>
      </c>
      <c r="D27" s="8" t="inlineStr">
        <is>
          <t>60 € en Nuria, Àlex, Sílvia (150 justo SÍ cobra) · Fórmula: =SI(C9&gt;=150;60;0)</t>
        </is>
      </c>
      <c r="E27" s="5" t="n"/>
    </row>
    <row r="28">
      <c r="A28" s="8" t="inlineStr">
        <is>
          <t>7</t>
        </is>
      </c>
      <c r="B28" s="8" t="inlineStr">
        <is>
          <t>Criterios + resultado copiado en H14</t>
        </is>
      </c>
      <c r="C28" s="8" t="n">
        <v>0.7</v>
      </c>
      <c r="D28" s="8" t="inlineStr">
        <is>
          <t>Ver hoja 7: cabecera + filas resultantes</t>
        </is>
      </c>
      <c r="E28" s="5" t="n"/>
    </row>
    <row r="29">
      <c r="A29" s="8" t="inlineStr">
        <is>
          <t>7</t>
        </is>
      </c>
      <c r="B29" s="8" t="inlineStr">
        <is>
          <t>Número de operaciones en E11</t>
        </is>
      </c>
      <c r="C29" s="8" t="n">
        <v>0.3</v>
      </c>
      <c r="D29" s="8" t="inlineStr">
        <is>
          <t>7</t>
        </is>
      </c>
      <c r="E29" s="5" t="n"/>
    </row>
    <row r="30">
      <c r="B30" s="10" t="inlineStr">
        <is>
          <t>TOTAL</t>
        </is>
      </c>
      <c r="C30" s="10">
        <f>SUM(C5:C29)</f>
        <v/>
      </c>
      <c r="E30" s="10">
        <f>SUM(E5:E29)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9" customWidth="1" min="4" max="4"/>
    <col width="8" customWidth="1" min="5" max="5"/>
    <col width="14" customWidth="1" min="8" max="8"/>
  </cols>
  <sheetData>
    <row r="1">
      <c r="A1" s="1" t="inlineStr">
        <is>
          <t>EJERCICIO 1 · Copiar y formato de celdas  (2 puntos)</t>
        </is>
      </c>
    </row>
    <row r="2">
      <c r="A2" s="2" t="inlineStr">
        <is>
          <t>Completa la tabla de turnos y dale un aspecto profesional. Cada tarea vale 0,4 puntos.</t>
        </is>
      </c>
    </row>
    <row r="3">
      <c r="A3" s="2" t="inlineStr">
        <is>
          <t>Recuerda: Inicio &gt; grupos Portapapeles, Fuente y Alineación (o botón derecho &gt; Formato de celdas).</t>
        </is>
      </c>
    </row>
    <row r="4">
      <c r="A4" s="3" t="inlineStr">
        <is>
          <t>TAREA 1: Copia la fila de DATOS PENDIENTES (H12:L12) y pégala en la fila amarilla de la tabla (A17).</t>
        </is>
      </c>
    </row>
    <row r="5">
      <c r="A5" s="3" t="inlineStr">
        <is>
          <t>TAREA 2: Título (A10): combina y centra de A10 a E10, en negrita, tamaño 14 y color azul.</t>
        </is>
      </c>
    </row>
    <row r="6">
      <c r="A6" s="3" t="inlineStr">
        <is>
          <t>TAREA 3: Fila de títulos (A11:E11): negrita, letra blanca y relleno azul oscuro.</t>
        </is>
      </c>
    </row>
    <row r="7">
      <c r="A7" s="3" t="inlineStr">
        <is>
          <t>TAREA 4: Pon TODOS LOS BORDES a la tabla (A11:E17).</t>
        </is>
      </c>
    </row>
    <row r="8">
      <c r="A8" s="3" t="inlineStr">
        <is>
          <t>TAREA 5: Ajusta el ancho de las columnas para que se lea todo el texto.</t>
        </is>
      </c>
    </row>
    <row r="10">
      <c r="A10" s="11" t="inlineStr">
        <is>
          <t>TURNOS DE LA SEMANA</t>
        </is>
      </c>
    </row>
    <row r="11">
      <c r="A11" s="12" t="inlineStr">
        <is>
          <t>Trabajador</t>
        </is>
      </c>
      <c r="B11" s="12" t="inlineStr">
        <is>
          <t>Categoría</t>
        </is>
      </c>
      <c r="C11" s="12" t="inlineStr">
        <is>
          <t>Turno</t>
        </is>
      </c>
      <c r="D11" s="12" t="inlineStr">
        <is>
          <t>Muelle</t>
        </is>
      </c>
      <c r="E11" s="12" t="inlineStr">
        <is>
          <t>Horas</t>
        </is>
      </c>
      <c r="H11" s="13" t="inlineStr">
        <is>
          <t>DATOS PENDIENTES (cópialos en la tabla):</t>
        </is>
      </c>
    </row>
    <row r="12">
      <c r="A12" s="8" t="inlineStr">
        <is>
          <t>Laura Ferré</t>
        </is>
      </c>
      <c r="B12" s="8" t="inlineStr">
        <is>
          <t>Capataz</t>
        </is>
      </c>
      <c r="C12" s="8" t="inlineStr">
        <is>
          <t>Mañana</t>
        </is>
      </c>
      <c r="D12" s="8" t="inlineStr">
        <is>
          <t>Moll d'Aragó</t>
        </is>
      </c>
      <c r="E12" s="8" t="n">
        <v>40</v>
      </c>
      <c r="H12" s="14" t="inlineStr">
        <is>
          <t>Sílvia Rius</t>
        </is>
      </c>
      <c r="I12" s="14" t="inlineStr">
        <is>
          <t>Gruista</t>
        </is>
      </c>
      <c r="J12" s="14" t="inlineStr">
        <is>
          <t>Noche</t>
        </is>
      </c>
      <c r="K12" s="14" t="inlineStr">
        <is>
          <t>Moll de Catalunya</t>
        </is>
      </c>
      <c r="L12" s="14" t="n">
        <v>44</v>
      </c>
    </row>
    <row r="13">
      <c r="A13" s="8" t="inlineStr">
        <is>
          <t>Oriol Batet</t>
        </is>
      </c>
      <c r="B13" s="8" t="inlineStr">
        <is>
          <t>Gruista</t>
        </is>
      </c>
      <c r="C13" s="8" t="inlineStr">
        <is>
          <t>Tarde</t>
        </is>
      </c>
      <c r="D13" s="8" t="inlineStr">
        <is>
          <t>Moll de Catalunya</t>
        </is>
      </c>
      <c r="E13" s="8" t="n">
        <v>38</v>
      </c>
    </row>
    <row r="14">
      <c r="A14" s="8" t="inlineStr">
        <is>
          <t>Nuria Sancho</t>
        </is>
      </c>
      <c r="B14" s="8" t="inlineStr">
        <is>
          <t>Estibadora</t>
        </is>
      </c>
      <c r="C14" s="8" t="inlineStr">
        <is>
          <t>Noche</t>
        </is>
      </c>
      <c r="D14" s="8" t="inlineStr">
        <is>
          <t>Moll d'Andalusia</t>
        </is>
      </c>
      <c r="E14" s="8" t="n">
        <v>42</v>
      </c>
    </row>
    <row r="15">
      <c r="A15" s="8" t="inlineStr">
        <is>
          <t>Gerard Pujol</t>
        </is>
      </c>
      <c r="B15" s="8" t="inlineStr">
        <is>
          <t>Conductor</t>
        </is>
      </c>
      <c r="C15" s="8" t="inlineStr">
        <is>
          <t>Mañana</t>
        </is>
      </c>
      <c r="D15" s="8" t="inlineStr">
        <is>
          <t>Moll de Castella</t>
        </is>
      </c>
      <c r="E15" s="8" t="n">
        <v>36</v>
      </c>
    </row>
    <row r="16">
      <c r="A16" s="8" t="inlineStr">
        <is>
          <t>Àlex Vives</t>
        </is>
      </c>
      <c r="B16" s="8" t="inlineStr">
        <is>
          <t>Estibador</t>
        </is>
      </c>
      <c r="C16" s="8" t="inlineStr">
        <is>
          <t>Tarde</t>
        </is>
      </c>
      <c r="D16" s="8" t="inlineStr">
        <is>
          <t>Moll d'Aragó</t>
        </is>
      </c>
      <c r="E16" s="8" t="n">
        <v>40</v>
      </c>
    </row>
    <row r="17">
      <c r="A17" s="8" t="inlineStr">
        <is>
          <t>Sílvia Rius</t>
        </is>
      </c>
      <c r="B17" s="8" t="inlineStr">
        <is>
          <t>Gruista</t>
        </is>
      </c>
      <c r="C17" s="8" t="inlineStr">
        <is>
          <t>Noche</t>
        </is>
      </c>
      <c r="D17" s="8" t="inlineStr">
        <is>
          <t>Moll de Catalunya</t>
        </is>
      </c>
      <c r="E17" s="8" t="n">
        <v>44</v>
      </c>
    </row>
  </sheetData>
  <mergeCells count="8">
    <mergeCell ref="A8:N8"/>
    <mergeCell ref="A3:N3"/>
    <mergeCell ref="A6:N6"/>
    <mergeCell ref="A4:N4"/>
    <mergeCell ref="A10:E10"/>
    <mergeCell ref="A2:N2"/>
    <mergeCell ref="A7:N7"/>
    <mergeCell ref="A5:N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EJERCICIO 2 · Formatos de número  (1,5 puntos)</t>
        </is>
      </c>
    </row>
    <row r="2">
      <c r="A2" s="2" t="inlineStr">
        <is>
          <t>Estos datos han perdido el formato. Los números son correctos, pero se ven mal. Cada tarea vale 0,3 puntos.</t>
        </is>
      </c>
    </row>
    <row r="3">
      <c r="A3" s="2" t="inlineStr">
        <is>
          <t>Recuerda: selecciona las celdas amarillas de la columna &gt; botón derecho &gt; Formato de celdas &gt; Número.</t>
        </is>
      </c>
    </row>
    <row r="4">
      <c r="A4" s="3" t="inlineStr">
        <is>
          <t>TAREA 1: Fecha → Fecha corta (02/10/2026).</t>
        </is>
      </c>
    </row>
    <row r="5">
      <c r="A5" s="3" t="inlineStr">
        <is>
          <t>TAREA 2: Hora atraque → Hora con formato 13:30.</t>
        </is>
      </c>
    </row>
    <row r="6">
      <c r="A6" s="3" t="inlineStr">
        <is>
          <t>TAREA 3: Contenedores → Número sin decimales y con separador de miles (1.840).</t>
        </is>
      </c>
    </row>
    <row r="7">
      <c r="A7" s="3" t="inlineStr">
        <is>
          <t>TAREA 4: Importe → Moneda con 2 decimales y símbolo € (67.160,00 €).</t>
        </is>
      </c>
    </row>
    <row r="8">
      <c r="A8" s="3" t="inlineStr">
        <is>
          <t>TAREA 5: Ocupación → Porcentaje con 1 decimal (68,0 %).</t>
        </is>
      </c>
    </row>
    <row r="10">
      <c r="A10" s="7" t="inlineStr">
        <is>
          <t>Buque</t>
        </is>
      </c>
      <c r="B10" s="7" t="inlineStr">
        <is>
          <t>Fecha</t>
        </is>
      </c>
      <c r="C10" s="7" t="inlineStr">
        <is>
          <t>Hora atraque</t>
        </is>
      </c>
      <c r="D10" s="7" t="inlineStr">
        <is>
          <t>Contenedores</t>
        </is>
      </c>
      <c r="E10" s="7" t="inlineStr">
        <is>
          <t>Importe</t>
        </is>
      </c>
      <c r="F10" s="7" t="inlineStr">
        <is>
          <t>Ocupación</t>
        </is>
      </c>
    </row>
    <row r="11">
      <c r="A11" s="8" t="inlineStr">
        <is>
          <t>Grimaldi Roma</t>
        </is>
      </c>
      <c r="B11" s="15" t="n">
        <v>46297</v>
      </c>
      <c r="C11" s="16" t="n">
        <v>0.3125</v>
      </c>
      <c r="D11" s="17" t="n">
        <v>1840</v>
      </c>
      <c r="E11" s="18" t="n">
        <v>67160</v>
      </c>
      <c r="F11" s="19" t="n">
        <v>0.68</v>
      </c>
    </row>
    <row r="12">
      <c r="A12" s="8" t="inlineStr">
        <is>
          <t>MSC Levante</t>
        </is>
      </c>
      <c r="B12" s="15" t="n">
        <v>46300</v>
      </c>
      <c r="C12" s="16" t="n">
        <v>0.5833333333333334</v>
      </c>
      <c r="D12" s="17" t="n">
        <v>2215</v>
      </c>
      <c r="E12" s="18" t="n">
        <v>80847.5</v>
      </c>
      <c r="F12" s="19" t="n">
        <v>0.835</v>
      </c>
    </row>
    <row r="13">
      <c r="A13" s="8" t="inlineStr">
        <is>
          <t>ONE Mare</t>
        </is>
      </c>
      <c r="B13" s="15" t="n">
        <v>46301</v>
      </c>
      <c r="C13" s="16" t="n">
        <v>0.9270833333333334</v>
      </c>
      <c r="D13" s="17" t="n">
        <v>1178</v>
      </c>
      <c r="E13" s="18" t="n">
        <v>42997</v>
      </c>
      <c r="F13" s="19" t="n">
        <v>0.542</v>
      </c>
    </row>
    <row r="14">
      <c r="A14" s="8" t="inlineStr">
        <is>
          <t>CMA CGM Ebro</t>
        </is>
      </c>
      <c r="B14" s="15" t="n">
        <v>46303</v>
      </c>
      <c r="C14" s="16" t="n">
        <v>0.25</v>
      </c>
      <c r="D14" s="17" t="n">
        <v>1563</v>
      </c>
      <c r="E14" s="18" t="n">
        <v>57049.5</v>
      </c>
      <c r="F14" s="19" t="n">
        <v>0.716</v>
      </c>
    </row>
    <row r="15">
      <c r="A15" s="8" t="inlineStr">
        <is>
          <t>Hapag Delta</t>
        </is>
      </c>
      <c r="B15" s="15" t="n">
        <v>46304</v>
      </c>
      <c r="C15" s="16" t="n">
        <v>0.5729166666666666</v>
      </c>
      <c r="D15" s="17" t="n">
        <v>1302</v>
      </c>
      <c r="E15" s="18" t="n">
        <v>47523</v>
      </c>
      <c r="F15" s="19" t="n">
        <v>0.904</v>
      </c>
    </row>
    <row r="16">
      <c r="A16" s="8" t="inlineStr">
        <is>
          <t>Maersk Tarragona</t>
        </is>
      </c>
      <c r="B16" s="15" t="n">
        <v>46308</v>
      </c>
      <c r="C16" s="16" t="n">
        <v>0.8958333333333334</v>
      </c>
      <c r="D16" s="17" t="n">
        <v>2047</v>
      </c>
      <c r="E16" s="18" t="n">
        <v>74715.5</v>
      </c>
      <c r="F16" s="19" t="n">
        <v>0.659</v>
      </c>
    </row>
  </sheetData>
  <mergeCells count="7">
    <mergeCell ref="A5:J5"/>
    <mergeCell ref="A8:J8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16" customWidth="1" min="4" max="4"/>
  </cols>
  <sheetData>
    <row r="1">
      <c r="A1" s="1" t="inlineStr">
        <is>
          <t>EJERCICIO 3 · Formato condicional  (1,5 puntos)</t>
        </is>
      </c>
    </row>
    <row r="2">
      <c r="A2" s="2" t="inlineStr">
        <is>
          <t>El capataz quiere ver de un vistazo las horas de más y los contenedores movidos. Cada tarea vale 0,5 puntos.</t>
        </is>
      </c>
    </row>
    <row r="3">
      <c r="A3" s="2" t="inlineStr">
        <is>
          <t>Recuerda: selecciona SOLO los datos de la columna (sin el título) → Inicio &gt; Formato condicional.</t>
        </is>
      </c>
    </row>
    <row r="4">
      <c r="A4" s="3" t="inlineStr">
        <is>
          <t>TAREA 1: Horas semana → resalta en ROJO (relleno rojo claro con texto rojo oscuro) las celdas MAYORES que 40.</t>
        </is>
      </c>
    </row>
    <row r="5">
      <c r="A5" s="3" t="inlineStr">
        <is>
          <t>TAREA 2: Turno → resalta en AMARILLO las celdas con el texto 'Noche' (Resaltar reglas &gt; Texto que contiene).</t>
        </is>
      </c>
    </row>
    <row r="6">
      <c r="A6" s="3" t="inlineStr">
        <is>
          <t>TAREA 3: Contenedores → aplica BARRAS DE DATOS del color que quieras.</t>
        </is>
      </c>
    </row>
    <row r="8" ht="30" customHeight="1">
      <c r="A8" s="7" t="inlineStr">
        <is>
          <t>Trabajador</t>
        </is>
      </c>
      <c r="B8" s="7" t="inlineStr">
        <is>
          <t>Turno</t>
        </is>
      </c>
      <c r="C8" s="7" t="inlineStr">
        <is>
          <t>Horas semana</t>
        </is>
      </c>
      <c r="D8" s="7" t="inlineStr">
        <is>
          <t>Contenedores</t>
        </is>
      </c>
    </row>
    <row r="9">
      <c r="A9" s="8" t="inlineStr">
        <is>
          <t>Laura Ferré</t>
        </is>
      </c>
      <c r="B9" s="8" t="inlineStr">
        <is>
          <t>Mañana</t>
        </is>
      </c>
      <c r="C9" s="8" t="n">
        <v>38</v>
      </c>
      <c r="D9" s="8" t="n">
        <v>131</v>
      </c>
    </row>
    <row r="10">
      <c r="A10" s="8" t="inlineStr">
        <is>
          <t>Oriol Batet</t>
        </is>
      </c>
      <c r="B10" s="8" t="inlineStr">
        <is>
          <t>Noche</t>
        </is>
      </c>
      <c r="C10" s="8" t="n">
        <v>45</v>
      </c>
      <c r="D10" s="8" t="n">
        <v>98</v>
      </c>
    </row>
    <row r="11">
      <c r="A11" s="8" t="inlineStr">
        <is>
          <t>Nuria Sancho</t>
        </is>
      </c>
      <c r="B11" s="8" t="inlineStr">
        <is>
          <t>Tarde</t>
        </is>
      </c>
      <c r="C11" s="8" t="n">
        <v>40</v>
      </c>
      <c r="D11" s="8" t="n">
        <v>172</v>
      </c>
    </row>
    <row r="12">
      <c r="A12" s="8" t="inlineStr">
        <is>
          <t>Gerard Pujol</t>
        </is>
      </c>
      <c r="B12" s="8" t="inlineStr">
        <is>
          <t>Noche</t>
        </is>
      </c>
      <c r="C12" s="8" t="n">
        <v>43</v>
      </c>
      <c r="D12" s="8" t="n">
        <v>117</v>
      </c>
    </row>
    <row r="13">
      <c r="A13" s="8" t="inlineStr">
        <is>
          <t>Àlex Vives</t>
        </is>
      </c>
      <c r="B13" s="8" t="inlineStr">
        <is>
          <t>Mañana</t>
        </is>
      </c>
      <c r="C13" s="8" t="n">
        <v>36</v>
      </c>
      <c r="D13" s="8" t="n">
        <v>184</v>
      </c>
    </row>
    <row r="14">
      <c r="A14" s="8" t="inlineStr">
        <is>
          <t>Sílvia Rius</t>
        </is>
      </c>
      <c r="B14" s="8" t="inlineStr">
        <is>
          <t>Tarde</t>
        </is>
      </c>
      <c r="C14" s="8" t="n">
        <v>41</v>
      </c>
      <c r="D14" s="8" t="n">
        <v>105</v>
      </c>
    </row>
    <row r="15">
      <c r="A15" s="8" t="inlineStr">
        <is>
          <t>Pau Roig</t>
        </is>
      </c>
      <c r="B15" s="8" t="inlineStr">
        <is>
          <t>Mañana</t>
        </is>
      </c>
      <c r="C15" s="8" t="n">
        <v>40</v>
      </c>
      <c r="D15" s="8" t="n">
        <v>89</v>
      </c>
    </row>
    <row r="16">
      <c r="A16" s="8" t="inlineStr">
        <is>
          <t>Marta Soler</t>
        </is>
      </c>
      <c r="B16" s="8" t="inlineStr">
        <is>
          <t>Noche</t>
        </is>
      </c>
      <c r="C16" s="8" t="n">
        <v>47</v>
      </c>
      <c r="D16" s="8" t="n">
        <v>140</v>
      </c>
    </row>
    <row r="17">
      <c r="A17" s="8" t="inlineStr">
        <is>
          <t>Jaume Bel</t>
        </is>
      </c>
      <c r="B17" s="8" t="inlineStr">
        <is>
          <t>Tarde</t>
        </is>
      </c>
      <c r="C17" s="8" t="n">
        <v>39</v>
      </c>
      <c r="D17" s="8" t="n">
        <v>161</v>
      </c>
    </row>
    <row r="18">
      <c r="A18" s="8" t="inlineStr">
        <is>
          <t>Rosa Gil</t>
        </is>
      </c>
      <c r="B18" s="8" t="inlineStr">
        <is>
          <t>Mañana</t>
        </is>
      </c>
      <c r="C18" s="8" t="n">
        <v>44</v>
      </c>
      <c r="D18" s="8" t="n">
        <v>126</v>
      </c>
    </row>
  </sheetData>
  <mergeCells count="5">
    <mergeCell ref="A5:J5"/>
    <mergeCell ref="A6:J6"/>
    <mergeCell ref="A3:J3"/>
    <mergeCell ref="A4:J4"/>
    <mergeCell ref="A2:J2"/>
  </mergeCells>
  <conditionalFormatting sqref="C9:C18">
    <cfRule type="cellIs" priority="1" operator="greaterThan" dxfId="0">
      <formula>40</formula>
    </cfRule>
  </conditionalFormatting>
  <conditionalFormatting sqref="B9:B18">
    <cfRule type="containsText" priority="2" operator="containsText" dxfId="1" text="Noche">
      <formula>NOT(ISERROR(SEARCH("Noche",B9)))</formula>
    </cfRule>
  </conditionalFormatting>
  <conditionalFormatting sqref="D9:D18">
    <cfRule type="dataBar" priority="3">
      <dataBar>
        <cfvo type="min"/>
        <cfvo type="max"/>
        <color rgb="005B9BD5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0" customWidth="1" min="7" max="7"/>
    <col width="12" customWidth="1" min="8" max="8"/>
    <col width="11" customWidth="1" min="9" max="9"/>
    <col width="17" customWidth="1" min="10" max="10"/>
  </cols>
  <sheetData>
    <row r="1">
      <c r="A1" s="1" t="inlineStr">
        <is>
          <t>EJERCICIO 4 · Autosuma  (2 puntos)</t>
        </is>
      </c>
    </row>
    <row r="2">
      <c r="A2" s="2" t="inlineStr">
        <is>
          <t>Contenedores movidos por cada estibador esta semana. Las celdas VACÍAS son días libres. Cada tarea vale 0,5 puntos.</t>
        </is>
      </c>
    </row>
    <row r="3">
      <c r="A3" s="2" t="inlineStr">
        <is>
          <t>Haz la fórmula en la primera fila amarilla y cópiala hacia abajo arrastrando la esquina de la celda.</t>
        </is>
      </c>
    </row>
    <row r="4">
      <c r="A4" s="2" t="inlineStr">
        <is>
          <t>Recuerda: Inicio &gt; Autosuma (Σ) y su flecha: Suma, Promedio, Máx y Contar números. ¡Comprueba que el rango es de lunes a viernes!</t>
        </is>
      </c>
    </row>
    <row r="5">
      <c r="A5" s="3" t="inlineStr">
        <is>
          <t>TAREA 1: Columna TOTAL → SUMA de los 5 días.</t>
        </is>
      </c>
    </row>
    <row r="6">
      <c r="A6" s="3" t="inlineStr">
        <is>
          <t>TAREA 2: Columna PROMEDIO → PROMEDIO de los 5 días (los días libres no cuentan).</t>
        </is>
      </c>
    </row>
    <row r="7">
      <c r="A7" s="3" t="inlineStr">
        <is>
          <t>TAREA 3: Columna MÁXIMO → el mejor día de cada trabajador.</t>
        </is>
      </c>
    </row>
    <row r="8">
      <c r="A8" s="3" t="inlineStr">
        <is>
          <t>TAREA 4: Columna DÍAS TRABAJADOS → CONTAR NÚMEROS de los 5 días.</t>
        </is>
      </c>
    </row>
    <row r="10" ht="32" customHeight="1">
      <c r="A10" s="7" t="inlineStr">
        <is>
          <t>Trabajador</t>
        </is>
      </c>
      <c r="B10" s="7" t="inlineStr">
        <is>
          <t>Lunes</t>
        </is>
      </c>
      <c r="C10" s="7" t="inlineStr">
        <is>
          <t>Martes</t>
        </is>
      </c>
      <c r="D10" s="7" t="inlineStr">
        <is>
          <t>Miércoles</t>
        </is>
      </c>
      <c r="E10" s="7" t="inlineStr">
        <is>
          <t>Jueves</t>
        </is>
      </c>
      <c r="F10" s="7" t="inlineStr">
        <is>
          <t>Viernes</t>
        </is>
      </c>
      <c r="G10" s="7" t="inlineStr">
        <is>
          <t>TOTAL</t>
        </is>
      </c>
      <c r="H10" s="7" t="inlineStr">
        <is>
          <t>PROMEDIO</t>
        </is>
      </c>
      <c r="I10" s="7" t="inlineStr">
        <is>
          <t>MÁXIMO</t>
        </is>
      </c>
      <c r="J10" s="7" t="inlineStr">
        <is>
          <t>DÍAS TRABAJADOS</t>
        </is>
      </c>
    </row>
    <row r="11">
      <c r="A11" s="8" t="inlineStr">
        <is>
          <t>Laura Ferré</t>
        </is>
      </c>
      <c r="B11" s="8" t="n">
        <v>46</v>
      </c>
      <c r="C11" s="8" t="n">
        <v>41</v>
      </c>
      <c r="D11" s="8" t="n"/>
      <c r="E11" s="8" t="n">
        <v>52</v>
      </c>
      <c r="F11" s="8" t="n">
        <v>38</v>
      </c>
      <c r="G11" s="5">
        <f>SUM(B11:F11)</f>
        <v/>
      </c>
      <c r="H11" s="20">
        <f>AVERAGE(B11:F11)</f>
        <v/>
      </c>
      <c r="I11" s="5">
        <f>MAX(B11:F11)</f>
        <v/>
      </c>
      <c r="J11" s="5">
        <f>COUNT(B11:F11)</f>
        <v/>
      </c>
    </row>
    <row r="12">
      <c r="A12" s="8" t="inlineStr">
        <is>
          <t>Oriol Batet</t>
        </is>
      </c>
      <c r="B12" s="8" t="n">
        <v>33</v>
      </c>
      <c r="C12" s="8" t="n">
        <v>37</v>
      </c>
      <c r="D12" s="8" t="n">
        <v>40</v>
      </c>
      <c r="E12" s="8" t="n"/>
      <c r="F12" s="8" t="n">
        <v>35</v>
      </c>
      <c r="G12" s="5">
        <f>SUM(B12:F12)</f>
        <v/>
      </c>
      <c r="H12" s="20">
        <f>AVERAGE(B12:F12)</f>
        <v/>
      </c>
      <c r="I12" s="5">
        <f>MAX(B12:F12)</f>
        <v/>
      </c>
      <c r="J12" s="5">
        <f>COUNT(B12:F12)</f>
        <v/>
      </c>
    </row>
    <row r="13">
      <c r="A13" s="8" t="inlineStr">
        <is>
          <t>Nuria Sancho</t>
        </is>
      </c>
      <c r="B13" s="8" t="n">
        <v>51</v>
      </c>
      <c r="C13" s="8" t="n">
        <v>48</v>
      </c>
      <c r="D13" s="8" t="n">
        <v>55</v>
      </c>
      <c r="E13" s="8" t="n">
        <v>49</v>
      </c>
      <c r="F13" s="8" t="n">
        <v>50</v>
      </c>
      <c r="G13" s="5">
        <f>SUM(B13:F13)</f>
        <v/>
      </c>
      <c r="H13" s="20">
        <f>AVERAGE(B13:F13)</f>
        <v/>
      </c>
      <c r="I13" s="5">
        <f>MAX(B13:F13)</f>
        <v/>
      </c>
      <c r="J13" s="5">
        <f>COUNT(B13:F13)</f>
        <v/>
      </c>
    </row>
    <row r="14">
      <c r="A14" s="8" t="inlineStr">
        <is>
          <t>Gerard Pujol</t>
        </is>
      </c>
      <c r="B14" s="8" t="n"/>
      <c r="C14" s="8" t="n">
        <v>29</v>
      </c>
      <c r="D14" s="8" t="n">
        <v>34</v>
      </c>
      <c r="E14" s="8" t="n">
        <v>31</v>
      </c>
      <c r="F14" s="8" t="n">
        <v>36</v>
      </c>
      <c r="G14" s="5">
        <f>SUM(B14:F14)</f>
        <v/>
      </c>
      <c r="H14" s="20">
        <f>AVERAGE(B14:F14)</f>
        <v/>
      </c>
      <c r="I14" s="5">
        <f>MAX(B14:F14)</f>
        <v/>
      </c>
      <c r="J14" s="5">
        <f>COUNT(B14:F14)</f>
        <v/>
      </c>
    </row>
    <row r="15">
      <c r="A15" s="8" t="inlineStr">
        <is>
          <t>Àlex Vives</t>
        </is>
      </c>
      <c r="B15" s="8" t="n">
        <v>44</v>
      </c>
      <c r="C15" s="8" t="n">
        <v>47</v>
      </c>
      <c r="D15" s="8" t="n">
        <v>42</v>
      </c>
      <c r="E15" s="8" t="n">
        <v>45</v>
      </c>
      <c r="F15" s="8" t="n">
        <v>43</v>
      </c>
      <c r="G15" s="5">
        <f>SUM(B15:F15)</f>
        <v/>
      </c>
      <c r="H15" s="20">
        <f>AVERAGE(B15:F15)</f>
        <v/>
      </c>
      <c r="I15" s="5">
        <f>MAX(B15:F15)</f>
        <v/>
      </c>
      <c r="J15" s="5">
        <f>COUNT(B15:F15)</f>
        <v/>
      </c>
    </row>
    <row r="16">
      <c r="A16" s="8" t="inlineStr">
        <is>
          <t>Sílvia Rius</t>
        </is>
      </c>
      <c r="B16" s="8" t="n">
        <v>38</v>
      </c>
      <c r="C16" s="8" t="n"/>
      <c r="D16" s="8" t="n">
        <v>41</v>
      </c>
      <c r="E16" s="8" t="n">
        <v>36</v>
      </c>
      <c r="F16" s="8" t="n">
        <v>39</v>
      </c>
      <c r="G16" s="5">
        <f>SUM(B16:F16)</f>
        <v/>
      </c>
      <c r="H16" s="20">
        <f>AVERAGE(B16:F16)</f>
        <v/>
      </c>
      <c r="I16" s="5">
        <f>MAX(B16:F16)</f>
        <v/>
      </c>
      <c r="J16" s="5">
        <f>COUNT(B16:F16)</f>
        <v/>
      </c>
    </row>
  </sheetData>
  <mergeCells count="7">
    <mergeCell ref="A6:K6"/>
    <mergeCell ref="A4:K4"/>
    <mergeCell ref="A3:K3"/>
    <mergeCell ref="A7:K7"/>
    <mergeCell ref="A2:K2"/>
    <mergeCell ref="A5:K5"/>
    <mergeCell ref="A8:K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9" customWidth="1" min="5" max="5"/>
    <col width="14" customWidth="1" min="6" max="6"/>
    <col width="82" customWidth="1" min="8" max="8"/>
    <col width="12" customWidth="1" min="9" max="9"/>
  </cols>
  <sheetData>
    <row r="1">
      <c r="A1" s="1" t="inlineStr">
        <is>
          <t>EJERCICIO 5 · Ordenar y filtrar  (1 punto)</t>
        </is>
      </c>
    </row>
    <row r="2">
      <c r="A2" s="2" t="inlineStr">
        <is>
          <t>Registro de operaciones de septiembre. Cada tarea vale 0,25 puntos.</t>
        </is>
      </c>
    </row>
    <row r="3">
      <c r="A3" s="2" t="inlineStr">
        <is>
          <t>Recuerda: clic en una celda de la tabla → Datos &gt; Filtro. Quita el filtro (Borrar) antes de la siguiente pregunta.</t>
        </is>
      </c>
    </row>
    <row r="4">
      <c r="A4" s="3" t="inlineStr">
        <is>
          <t>TAREA 1: Responde a las 3 preguntas de la derecha usando los filtros.</t>
        </is>
      </c>
    </row>
    <row r="5">
      <c r="A5" s="3" t="inlineStr">
        <is>
          <t>TAREA 2 (al final): Ordena la tabla por Contenedores de MAYOR a MENOR.</t>
        </is>
      </c>
    </row>
    <row r="7">
      <c r="A7" s="7" t="inlineStr">
        <is>
          <t>Fecha</t>
        </is>
      </c>
      <c r="B7" s="7" t="inlineStr">
        <is>
          <t>Buque</t>
        </is>
      </c>
      <c r="C7" s="7" t="inlineStr">
        <is>
          <t>Terminal</t>
        </is>
      </c>
      <c r="D7" s="7" t="inlineStr">
        <is>
          <t>Tipo de carga</t>
        </is>
      </c>
      <c r="E7" s="7" t="inlineStr">
        <is>
          <t>Turno</t>
        </is>
      </c>
      <c r="F7" s="7" t="inlineStr">
        <is>
          <t>Contenedores</t>
        </is>
      </c>
      <c r="H7" s="21" t="inlineStr">
        <is>
          <t>PREGUNTAS</t>
        </is>
      </c>
      <c r="I7" s="21" t="inlineStr">
        <is>
          <t>RESPUESTA</t>
        </is>
      </c>
    </row>
    <row r="8">
      <c r="A8" s="22" t="n">
        <v>46292</v>
      </c>
      <c r="B8" s="8" t="inlineStr">
        <is>
          <t>Grimaldi Roma</t>
        </is>
      </c>
      <c r="C8" s="8" t="inlineStr">
        <is>
          <t>Moll d'Aragó</t>
        </is>
      </c>
      <c r="D8" s="8" t="inlineStr">
        <is>
          <t>Contenedores</t>
        </is>
      </c>
      <c r="E8" s="8" t="inlineStr">
        <is>
          <t>Noche</t>
        </is>
      </c>
      <c r="F8" s="8" t="n">
        <v>393</v>
      </c>
      <c r="H8" s="23" t="inlineStr">
        <is>
          <t>¿Cuántas operaciones ha hecho el turno de Noche?</t>
        </is>
      </c>
      <c r="I8" s="5" t="n">
        <v>10</v>
      </c>
    </row>
    <row r="9">
      <c r="A9" s="22" t="n">
        <v>46278</v>
      </c>
      <c r="B9" s="8" t="inlineStr">
        <is>
          <t>Grimaldi Roma</t>
        </is>
      </c>
      <c r="C9" s="8" t="inlineStr">
        <is>
          <t>Moll d'Andalusia</t>
        </is>
      </c>
      <c r="D9" s="8" t="inlineStr">
        <is>
          <t>Ro-Ro</t>
        </is>
      </c>
      <c r="E9" s="8" t="inlineStr">
        <is>
          <t>Tarde</t>
        </is>
      </c>
      <c r="F9" s="8" t="n">
        <v>382</v>
      </c>
      <c r="H9" s="23" t="inlineStr">
        <is>
          <t>¿Cuántas operaciones se han hecho en el Moll de Catalunya?</t>
        </is>
      </c>
      <c r="I9" s="5" t="n">
        <v>6</v>
      </c>
    </row>
    <row r="10">
      <c r="A10" s="22" t="n">
        <v>46284</v>
      </c>
      <c r="B10" s="8" t="inlineStr">
        <is>
          <t>Hapag Delta</t>
        </is>
      </c>
      <c r="C10" s="8" t="inlineStr">
        <is>
          <t>Moll d'Andalusia</t>
        </is>
      </c>
      <c r="D10" s="8" t="inlineStr">
        <is>
          <t>Granel</t>
        </is>
      </c>
      <c r="E10" s="8" t="inlineStr">
        <is>
          <t>Noche</t>
        </is>
      </c>
      <c r="F10" s="8" t="n">
        <v>373</v>
      </c>
      <c r="H10" s="23" t="inlineStr">
        <is>
          <t>¿Cuántas operaciones de tipo Contenedores ha hecho el turno de Mañana? (dos filtros a la vez)</t>
        </is>
      </c>
      <c r="I10" s="5" t="n">
        <v>5</v>
      </c>
    </row>
    <row r="11">
      <c r="A11" s="22" t="n">
        <v>46291</v>
      </c>
      <c r="B11" s="8" t="inlineStr">
        <is>
          <t>CMA CGM Ebro</t>
        </is>
      </c>
      <c r="C11" s="8" t="inlineStr">
        <is>
          <t>Moll d'Aragó</t>
        </is>
      </c>
      <c r="D11" s="8" t="inlineStr">
        <is>
          <t>Granel</t>
        </is>
      </c>
      <c r="E11" s="8" t="inlineStr">
        <is>
          <t>Mañana</t>
        </is>
      </c>
      <c r="F11" s="8" t="n">
        <v>315</v>
      </c>
    </row>
    <row r="12">
      <c r="A12" s="22" t="n">
        <v>46269</v>
      </c>
      <c r="B12" s="8" t="inlineStr">
        <is>
          <t>Maersk Tarragona</t>
        </is>
      </c>
      <c r="C12" s="8" t="inlineStr">
        <is>
          <t>Moll de Castella</t>
        </is>
      </c>
      <c r="D12" s="8" t="inlineStr">
        <is>
          <t>Granel</t>
        </is>
      </c>
      <c r="E12" s="8" t="inlineStr">
        <is>
          <t>Noche</t>
        </is>
      </c>
      <c r="F12" s="8" t="n">
        <v>307</v>
      </c>
    </row>
    <row r="13">
      <c r="A13" s="22" t="n">
        <v>46283</v>
      </c>
      <c r="B13" s="8" t="inlineStr">
        <is>
          <t>MSC Levante</t>
        </is>
      </c>
      <c r="C13" s="8" t="inlineStr">
        <is>
          <t>Moll d'Aragó</t>
        </is>
      </c>
      <c r="D13" s="8" t="inlineStr">
        <is>
          <t>Contenedores</t>
        </is>
      </c>
      <c r="E13" s="8" t="inlineStr">
        <is>
          <t>Mañana</t>
        </is>
      </c>
      <c r="F13" s="8" t="n">
        <v>289</v>
      </c>
    </row>
    <row r="14">
      <c r="A14" s="22" t="n">
        <v>46286</v>
      </c>
      <c r="B14" s="8" t="inlineStr">
        <is>
          <t>Grimaldi Roma</t>
        </is>
      </c>
      <c r="C14" s="8" t="inlineStr">
        <is>
          <t>Moll de Catalunya</t>
        </is>
      </c>
      <c r="D14" s="8" t="inlineStr">
        <is>
          <t>Contenedores</t>
        </is>
      </c>
      <c r="E14" s="8" t="inlineStr">
        <is>
          <t>Noche</t>
        </is>
      </c>
      <c r="F14" s="8" t="n">
        <v>286</v>
      </c>
    </row>
    <row r="15">
      <c r="A15" s="22" t="n">
        <v>46272</v>
      </c>
      <c r="B15" s="8" t="inlineStr">
        <is>
          <t>Hapag Delta</t>
        </is>
      </c>
      <c r="C15" s="8" t="inlineStr">
        <is>
          <t>Moll d'Andalusia</t>
        </is>
      </c>
      <c r="D15" s="8" t="inlineStr">
        <is>
          <t>Granel</t>
        </is>
      </c>
      <c r="E15" s="8" t="inlineStr">
        <is>
          <t>Noche</t>
        </is>
      </c>
      <c r="F15" s="8" t="n">
        <v>267</v>
      </c>
    </row>
    <row r="16">
      <c r="A16" s="22" t="n">
        <v>46267</v>
      </c>
      <c r="B16" s="8" t="inlineStr">
        <is>
          <t>Grimaldi Roma</t>
        </is>
      </c>
      <c r="C16" s="8" t="inlineStr">
        <is>
          <t>Moll de Catalunya</t>
        </is>
      </c>
      <c r="D16" s="8" t="inlineStr">
        <is>
          <t>Contenedores</t>
        </is>
      </c>
      <c r="E16" s="8" t="inlineStr">
        <is>
          <t>Tarde</t>
        </is>
      </c>
      <c r="F16" s="8" t="n">
        <v>236</v>
      </c>
    </row>
    <row r="17">
      <c r="A17" s="22" t="n">
        <v>46289</v>
      </c>
      <c r="B17" s="8" t="inlineStr">
        <is>
          <t>MSC Levante</t>
        </is>
      </c>
      <c r="C17" s="8" t="inlineStr">
        <is>
          <t>Moll d'Andalusia</t>
        </is>
      </c>
      <c r="D17" s="8" t="inlineStr">
        <is>
          <t>Contenedores</t>
        </is>
      </c>
      <c r="E17" s="8" t="inlineStr">
        <is>
          <t>Tarde</t>
        </is>
      </c>
      <c r="F17" s="8" t="n">
        <v>232</v>
      </c>
    </row>
    <row r="18">
      <c r="A18" s="22" t="n">
        <v>46280</v>
      </c>
      <c r="B18" s="8" t="inlineStr">
        <is>
          <t>CMA CGM Ebro</t>
        </is>
      </c>
      <c r="C18" s="8" t="inlineStr">
        <is>
          <t>Moll de Catalunya</t>
        </is>
      </c>
      <c r="D18" s="8" t="inlineStr">
        <is>
          <t>Contenedores</t>
        </is>
      </c>
      <c r="E18" s="8" t="inlineStr">
        <is>
          <t>Noche</t>
        </is>
      </c>
      <c r="F18" s="8" t="n">
        <v>212</v>
      </c>
    </row>
    <row r="19">
      <c r="A19" s="22" t="n">
        <v>46274</v>
      </c>
      <c r="B19" s="8" t="inlineStr">
        <is>
          <t>MSC Levante</t>
        </is>
      </c>
      <c r="C19" s="8" t="inlineStr">
        <is>
          <t>Moll d'Aragó</t>
        </is>
      </c>
      <c r="D19" s="8" t="inlineStr">
        <is>
          <t>Granel</t>
        </is>
      </c>
      <c r="E19" s="8" t="inlineStr">
        <is>
          <t>Noche</t>
        </is>
      </c>
      <c r="F19" s="8" t="n">
        <v>206</v>
      </c>
    </row>
    <row r="20">
      <c r="A20" s="22" t="n">
        <v>46282</v>
      </c>
      <c r="B20" s="8" t="inlineStr">
        <is>
          <t>Grimaldi Roma</t>
        </is>
      </c>
      <c r="C20" s="8" t="inlineStr">
        <is>
          <t>Moll de Castella</t>
        </is>
      </c>
      <c r="D20" s="8" t="inlineStr">
        <is>
          <t>Contenedores</t>
        </is>
      </c>
      <c r="E20" s="8" t="inlineStr">
        <is>
          <t>Tarde</t>
        </is>
      </c>
      <c r="F20" s="8" t="n">
        <v>201</v>
      </c>
    </row>
    <row r="21">
      <c r="A21" s="22" t="n">
        <v>46268</v>
      </c>
      <c r="B21" s="8" t="inlineStr">
        <is>
          <t>CMA CGM Ebro</t>
        </is>
      </c>
      <c r="C21" s="8" t="inlineStr">
        <is>
          <t>Moll d'Aragó</t>
        </is>
      </c>
      <c r="D21" s="8" t="inlineStr">
        <is>
          <t>Contenedores</t>
        </is>
      </c>
      <c r="E21" s="8" t="inlineStr">
        <is>
          <t>Noche</t>
        </is>
      </c>
      <c r="F21" s="8" t="n">
        <v>170</v>
      </c>
    </row>
    <row r="22">
      <c r="A22" s="22" t="n">
        <v>46287</v>
      </c>
      <c r="B22" s="8" t="inlineStr">
        <is>
          <t>CMA CGM Ebro</t>
        </is>
      </c>
      <c r="C22" s="8" t="inlineStr">
        <is>
          <t>Moll de Catalunya</t>
        </is>
      </c>
      <c r="D22" s="8" t="inlineStr">
        <is>
          <t>Contenedores</t>
        </is>
      </c>
      <c r="E22" s="8" t="inlineStr">
        <is>
          <t>Mañana</t>
        </is>
      </c>
      <c r="F22" s="8" t="n">
        <v>158</v>
      </c>
    </row>
    <row r="23">
      <c r="A23" s="22" t="n">
        <v>46279</v>
      </c>
      <c r="B23" s="8" t="inlineStr">
        <is>
          <t>CMA CGM Ebro</t>
        </is>
      </c>
      <c r="C23" s="8" t="inlineStr">
        <is>
          <t>Moll de Catalunya</t>
        </is>
      </c>
      <c r="D23" s="8" t="inlineStr">
        <is>
          <t>Contenedores</t>
        </is>
      </c>
      <c r="E23" s="8" t="inlineStr">
        <is>
          <t>Mañana</t>
        </is>
      </c>
      <c r="F23" s="8" t="n">
        <v>145</v>
      </c>
    </row>
    <row r="24">
      <c r="A24" s="22" t="n">
        <v>46285</v>
      </c>
      <c r="B24" s="8" t="inlineStr">
        <is>
          <t>Hapag Delta</t>
        </is>
      </c>
      <c r="C24" s="8" t="inlineStr">
        <is>
          <t>Moll d'Andalusia</t>
        </is>
      </c>
      <c r="D24" s="8" t="inlineStr">
        <is>
          <t>Contenedores</t>
        </is>
      </c>
      <c r="E24" s="8" t="inlineStr">
        <is>
          <t>Noche</t>
        </is>
      </c>
      <c r="F24" s="8" t="n">
        <v>132</v>
      </c>
    </row>
    <row r="25">
      <c r="A25" s="22" t="n">
        <v>46294</v>
      </c>
      <c r="B25" s="8" t="inlineStr">
        <is>
          <t>ONE Mare</t>
        </is>
      </c>
      <c r="C25" s="8" t="inlineStr">
        <is>
          <t>Moll de Castella</t>
        </is>
      </c>
      <c r="D25" s="8" t="inlineStr">
        <is>
          <t>Contenedores</t>
        </is>
      </c>
      <c r="E25" s="8" t="inlineStr">
        <is>
          <t>Mañana</t>
        </is>
      </c>
      <c r="F25" s="8" t="n">
        <v>98</v>
      </c>
    </row>
    <row r="26">
      <c r="A26" s="22" t="n">
        <v>46275</v>
      </c>
      <c r="B26" s="8" t="inlineStr">
        <is>
          <t>Grimaldi Roma</t>
        </is>
      </c>
      <c r="C26" s="8" t="inlineStr">
        <is>
          <t>Moll d'Andalusia</t>
        </is>
      </c>
      <c r="D26" s="8" t="inlineStr">
        <is>
          <t>Contenedores</t>
        </is>
      </c>
      <c r="E26" s="8" t="inlineStr">
        <is>
          <t>Mañana</t>
        </is>
      </c>
      <c r="F26" s="8" t="n">
        <v>92</v>
      </c>
    </row>
    <row r="27">
      <c r="A27" s="22" t="n">
        <v>46273</v>
      </c>
      <c r="B27" s="8" t="inlineStr">
        <is>
          <t>MSC Levante</t>
        </is>
      </c>
      <c r="C27" s="8" t="inlineStr">
        <is>
          <t>Moll de Catalunya</t>
        </is>
      </c>
      <c r="D27" s="8" t="inlineStr">
        <is>
          <t>Contenedores</t>
        </is>
      </c>
      <c r="E27" s="8" t="inlineStr">
        <is>
          <t>Noche</t>
        </is>
      </c>
      <c r="F27" s="8" t="n">
        <v>65</v>
      </c>
    </row>
  </sheetData>
  <autoFilter ref="A7:F27"/>
  <mergeCells count="4">
    <mergeCell ref="A5:J5"/>
    <mergeCell ref="A4:J4"/>
    <mergeCell ref="A3:J3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5" customWidth="1" min="4" max="4"/>
    <col width="13" customWidth="1" min="5" max="5"/>
  </cols>
  <sheetData>
    <row r="1">
      <c r="A1" s="1" t="inlineStr">
        <is>
          <t>EJERCICIO 6 · PARA SUBIR NOTA · Función SI  (1 punto)</t>
        </is>
      </c>
    </row>
    <row r="2">
      <c r="A2" s="2" t="inlineStr">
        <is>
          <t>Cada tarea vale 0,5 puntos.</t>
        </is>
      </c>
    </row>
    <row r="3">
      <c r="A3" s="2" t="inlineStr">
        <is>
          <t xml:space="preserve">   Estructura:   =SI( condición ; lo que pone si SE CUMPLE ; lo que pone si NO se cumple )</t>
        </is>
      </c>
    </row>
    <row r="4">
      <c r="A4" s="2" t="inlineStr">
        <is>
          <t>Recuerda: el texto va entre comillas "  " y los números sin comillas. Haz la primera fila y arrastra hacia abajo.</t>
        </is>
      </c>
    </row>
    <row r="5">
      <c r="A5" s="3" t="inlineStr">
        <is>
          <t>TAREA 1: Columna ¿HORAS EXTRA? → si las Horas semana son MAYORES que 40, que ponga SÍ; si no, que ponga NO.</t>
        </is>
      </c>
    </row>
    <row r="6">
      <c r="A6" s="3" t="inlineStr">
        <is>
          <t>TAREA 2: Columna PLUS → si los Contenedores son 150 o MÁS, que ponga 60; si no, 0. Después dale formato Moneda (60,00 €).</t>
        </is>
      </c>
    </row>
    <row r="8">
      <c r="A8" s="7" t="inlineStr">
        <is>
          <t>Trabajador</t>
        </is>
      </c>
      <c r="B8" s="7" t="inlineStr">
        <is>
          <t>Horas semana</t>
        </is>
      </c>
      <c r="C8" s="7" t="inlineStr">
        <is>
          <t>Contenedores</t>
        </is>
      </c>
      <c r="D8" s="7" t="inlineStr">
        <is>
          <t>¿HORAS EXTRA?</t>
        </is>
      </c>
      <c r="E8" s="7" t="inlineStr">
        <is>
          <t>PLUS</t>
        </is>
      </c>
    </row>
    <row r="9">
      <c r="A9" s="8" t="inlineStr">
        <is>
          <t>Laura Ferré</t>
        </is>
      </c>
      <c r="B9" s="8" t="n">
        <v>38</v>
      </c>
      <c r="C9" s="8" t="n">
        <v>131</v>
      </c>
      <c r="D9" s="24">
        <f>IF(B9&gt;40,"SÍ","NO")</f>
        <v/>
      </c>
      <c r="E9" s="18">
        <f>IF(C9&gt;=150,60,0)</f>
        <v/>
      </c>
    </row>
    <row r="10">
      <c r="A10" s="8" t="inlineStr">
        <is>
          <t>Oriol Batet</t>
        </is>
      </c>
      <c r="B10" s="8" t="n">
        <v>45</v>
      </c>
      <c r="C10" s="8" t="n">
        <v>98</v>
      </c>
      <c r="D10" s="24">
        <f>IF(B10&gt;40,"SÍ","NO")</f>
        <v/>
      </c>
      <c r="E10" s="18">
        <f>IF(C10&gt;=150,60,0)</f>
        <v/>
      </c>
    </row>
    <row r="11">
      <c r="A11" s="8" t="inlineStr">
        <is>
          <t>Nuria Sancho</t>
        </is>
      </c>
      <c r="B11" s="8" t="n">
        <v>40</v>
      </c>
      <c r="C11" s="8" t="n">
        <v>172</v>
      </c>
      <c r="D11" s="24">
        <f>IF(B11&gt;40,"SÍ","NO")</f>
        <v/>
      </c>
      <c r="E11" s="18">
        <f>IF(C11&gt;=150,60,0)</f>
        <v/>
      </c>
    </row>
    <row r="12">
      <c r="A12" s="8" t="inlineStr">
        <is>
          <t>Gerard Pujol</t>
        </is>
      </c>
      <c r="B12" s="8" t="n">
        <v>43</v>
      </c>
      <c r="C12" s="8" t="n">
        <v>117</v>
      </c>
      <c r="D12" s="24">
        <f>IF(B12&gt;40,"SÍ","NO")</f>
        <v/>
      </c>
      <c r="E12" s="18">
        <f>IF(C12&gt;=150,60,0)</f>
        <v/>
      </c>
    </row>
    <row r="13">
      <c r="A13" s="8" t="inlineStr">
        <is>
          <t>Àlex Vives</t>
        </is>
      </c>
      <c r="B13" s="8" t="n">
        <v>36</v>
      </c>
      <c r="C13" s="8" t="n">
        <v>184</v>
      </c>
      <c r="D13" s="24">
        <f>IF(B13&gt;40,"SÍ","NO")</f>
        <v/>
      </c>
      <c r="E13" s="18">
        <f>IF(C13&gt;=150,60,0)</f>
        <v/>
      </c>
    </row>
    <row r="14">
      <c r="A14" s="8" t="inlineStr">
        <is>
          <t>Sílvia Rius</t>
        </is>
      </c>
      <c r="B14" s="8" t="n">
        <v>41</v>
      </c>
      <c r="C14" s="8" t="n">
        <v>150</v>
      </c>
      <c r="D14" s="24">
        <f>IF(B14&gt;40,"SÍ","NO")</f>
        <v/>
      </c>
      <c r="E14" s="18">
        <f>IF(C14&gt;=150,60,0)</f>
        <v/>
      </c>
    </row>
    <row r="15">
      <c r="A15" s="8" t="inlineStr">
        <is>
          <t>Pau Roig</t>
        </is>
      </c>
      <c r="B15" s="8" t="n">
        <v>40</v>
      </c>
      <c r="C15" s="8" t="n">
        <v>89</v>
      </c>
      <c r="D15" s="24">
        <f>IF(B15&gt;40,"SÍ","NO")</f>
        <v/>
      </c>
      <c r="E15" s="18">
        <f>IF(C15&gt;=150,60,0)</f>
        <v/>
      </c>
    </row>
    <row r="16">
      <c r="A16" s="8" t="inlineStr">
        <is>
          <t>Marta Soler</t>
        </is>
      </c>
      <c r="B16" s="8" t="n">
        <v>47</v>
      </c>
      <c r="C16" s="8" t="n">
        <v>140</v>
      </c>
      <c r="D16" s="24">
        <f>IF(B16&gt;40,"SÍ","NO")</f>
        <v/>
      </c>
      <c r="E16" s="18">
        <f>IF(C16&gt;=150,60,0)</f>
        <v/>
      </c>
    </row>
  </sheetData>
  <mergeCells count="5">
    <mergeCell ref="A5:J5"/>
    <mergeCell ref="A6:J6"/>
    <mergeCell ref="A3:J3"/>
    <mergeCell ref="A4:J4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5" customWidth="1" min="4" max="4"/>
    <col width="9" customWidth="1" min="5" max="5"/>
    <col width="14" customWidth="1" min="6" max="6"/>
    <col width="12" customWidth="1" min="8" max="8"/>
    <col width="18" customWidth="1" min="9" max="9"/>
    <col width="18" customWidth="1" min="10" max="10"/>
    <col width="14" customWidth="1" min="11" max="11"/>
    <col width="9" customWidth="1" min="12" max="12"/>
    <col width="14" customWidth="1" min="13" max="13"/>
  </cols>
  <sheetData>
    <row r="1">
      <c r="A1" s="1" t="inlineStr">
        <is>
          <t>EJERCICIO 7 · PARA SUBIR NOTA · Filtro avanzado  (1 punto)</t>
        </is>
      </c>
    </row>
    <row r="2">
      <c r="A2" s="2" t="inlineStr">
        <is>
          <t>Saca una lista SOLO con las operaciones del turno de NOCHE que movieron MÁS de 200 contenedores.</t>
        </is>
      </c>
    </row>
    <row r="3">
      <c r="A3" s="2" t="inlineStr">
        <is>
          <t>La lista tiene que salir a partir de la celda H14, sin tocar la tabla original.</t>
        </is>
      </c>
    </row>
    <row r="4">
      <c r="A4" s="2" t="inlineStr">
        <is>
          <t>Recuerda: primero escribe las condiciones en el RANGO DE CRITERIOS (celdas amarillas) y después Datos &gt; Avanzadas &gt; Copiar a otro lugar.</t>
        </is>
      </c>
    </row>
    <row r="5">
      <c r="A5" s="3" t="inlineStr">
        <is>
          <t>Rango de la lista: A14:F34  ·  Rango de criterios: A10:B11  ·  Copiar a: H14</t>
        </is>
      </c>
    </row>
    <row r="6">
      <c r="A6" s="3" t="inlineStr">
        <is>
          <t>Al acabar, escribe en la celda amarilla E11 cuántas operaciones han salido.</t>
        </is>
      </c>
    </row>
    <row r="9">
      <c r="A9" s="13" t="inlineStr">
        <is>
          <t>RANGO DE CRITERIOS</t>
        </is>
      </c>
    </row>
    <row r="10">
      <c r="A10" s="25" t="inlineStr">
        <is>
          <t>Turno</t>
        </is>
      </c>
      <c r="B10" s="25" t="inlineStr">
        <is>
          <t>Contenedores</t>
        </is>
      </c>
    </row>
    <row r="11">
      <c r="A11" s="5" t="inlineStr">
        <is>
          <t>Noche</t>
        </is>
      </c>
      <c r="B11" s="5" t="inlineStr">
        <is>
          <t>&gt;200</t>
        </is>
      </c>
      <c r="D11" s="26" t="inlineStr">
        <is>
          <t>Nº operaciones:</t>
        </is>
      </c>
      <c r="E11" s="5" t="n">
        <v>7</v>
      </c>
    </row>
    <row r="13">
      <c r="A13" s="3" t="inlineStr">
        <is>
          <t>TABLA ORIGINAL</t>
        </is>
      </c>
      <c r="H13" s="13" t="inlineStr">
        <is>
          <t>RESULTADO (a partir de H14)</t>
        </is>
      </c>
    </row>
    <row r="14">
      <c r="A14" s="7" t="inlineStr">
        <is>
          <t>Fecha</t>
        </is>
      </c>
      <c r="B14" s="7" t="inlineStr">
        <is>
          <t>Buque</t>
        </is>
      </c>
      <c r="C14" s="7" t="inlineStr">
        <is>
          <t>Terminal</t>
        </is>
      </c>
      <c r="D14" s="7" t="inlineStr">
        <is>
          <t>Tipo de carga</t>
        </is>
      </c>
      <c r="E14" s="7" t="inlineStr">
        <is>
          <t>Turno</t>
        </is>
      </c>
      <c r="F14" s="7" t="inlineStr">
        <is>
          <t>Contenedores</t>
        </is>
      </c>
      <c r="H14" s="7" t="inlineStr">
        <is>
          <t>Fecha</t>
        </is>
      </c>
      <c r="I14" s="7" t="inlineStr">
        <is>
          <t>Buque</t>
        </is>
      </c>
      <c r="J14" s="7" t="inlineStr">
        <is>
          <t>Terminal</t>
        </is>
      </c>
      <c r="K14" s="7" t="inlineStr">
        <is>
          <t>Tipo de carga</t>
        </is>
      </c>
      <c r="L14" s="7" t="inlineStr">
        <is>
          <t>Turno</t>
        </is>
      </c>
      <c r="M14" s="7" t="inlineStr">
        <is>
          <t>Contenedores</t>
        </is>
      </c>
    </row>
    <row r="15">
      <c r="A15" s="22" t="n">
        <v>46285</v>
      </c>
      <c r="B15" s="8" t="inlineStr">
        <is>
          <t>Hapag Delta</t>
        </is>
      </c>
      <c r="C15" s="8" t="inlineStr">
        <is>
          <t>Moll d'Andalusia</t>
        </is>
      </c>
      <c r="D15" s="8" t="inlineStr">
        <is>
          <t>Contenedores</t>
        </is>
      </c>
      <c r="E15" s="8" t="inlineStr">
        <is>
          <t>Noche</t>
        </is>
      </c>
      <c r="F15" s="8" t="n">
        <v>132</v>
      </c>
      <c r="H15" s="22" t="n">
        <v>46280</v>
      </c>
      <c r="I15" s="8" t="inlineStr">
        <is>
          <t>CMA CGM Ebro</t>
        </is>
      </c>
      <c r="J15" s="8" t="inlineStr">
        <is>
          <t>Moll de Catalunya</t>
        </is>
      </c>
      <c r="K15" s="8" t="inlineStr">
        <is>
          <t>Contenedores</t>
        </is>
      </c>
      <c r="L15" s="8" t="inlineStr">
        <is>
          <t>Noche</t>
        </is>
      </c>
      <c r="M15" s="8" t="n">
        <v>212</v>
      </c>
    </row>
    <row r="16">
      <c r="A16" s="22" t="n">
        <v>46280</v>
      </c>
      <c r="B16" s="8" t="inlineStr">
        <is>
          <t>CMA CGM Ebro</t>
        </is>
      </c>
      <c r="C16" s="8" t="inlineStr">
        <is>
          <t>Moll de Catalunya</t>
        </is>
      </c>
      <c r="D16" s="8" t="inlineStr">
        <is>
          <t>Contenedores</t>
        </is>
      </c>
      <c r="E16" s="8" t="inlineStr">
        <is>
          <t>Noche</t>
        </is>
      </c>
      <c r="F16" s="8" t="n">
        <v>212</v>
      </c>
      <c r="H16" s="22" t="n">
        <v>46274</v>
      </c>
      <c r="I16" s="8" t="inlineStr">
        <is>
          <t>MSC Levante</t>
        </is>
      </c>
      <c r="J16" s="8" t="inlineStr">
        <is>
          <t>Moll d'Aragó</t>
        </is>
      </c>
      <c r="K16" s="8" t="inlineStr">
        <is>
          <t>Granel</t>
        </is>
      </c>
      <c r="L16" s="8" t="inlineStr">
        <is>
          <t>Noche</t>
        </is>
      </c>
      <c r="M16" s="8" t="n">
        <v>206</v>
      </c>
    </row>
    <row r="17">
      <c r="A17" s="22" t="n">
        <v>46274</v>
      </c>
      <c r="B17" s="8" t="inlineStr">
        <is>
          <t>MSC Levante</t>
        </is>
      </c>
      <c r="C17" s="8" t="inlineStr">
        <is>
          <t>Moll d'Aragó</t>
        </is>
      </c>
      <c r="D17" s="8" t="inlineStr">
        <is>
          <t>Granel</t>
        </is>
      </c>
      <c r="E17" s="8" t="inlineStr">
        <is>
          <t>Noche</t>
        </is>
      </c>
      <c r="F17" s="8" t="n">
        <v>206</v>
      </c>
      <c r="H17" s="22" t="n">
        <v>46269</v>
      </c>
      <c r="I17" s="8" t="inlineStr">
        <is>
          <t>Maersk Tarragona</t>
        </is>
      </c>
      <c r="J17" s="8" t="inlineStr">
        <is>
          <t>Moll de Castella</t>
        </is>
      </c>
      <c r="K17" s="8" t="inlineStr">
        <is>
          <t>Granel</t>
        </is>
      </c>
      <c r="L17" s="8" t="inlineStr">
        <is>
          <t>Noche</t>
        </is>
      </c>
      <c r="M17" s="8" t="n">
        <v>307</v>
      </c>
    </row>
    <row r="18">
      <c r="A18" s="22" t="n">
        <v>46269</v>
      </c>
      <c r="B18" s="8" t="inlineStr">
        <is>
          <t>Maersk Tarragona</t>
        </is>
      </c>
      <c r="C18" s="8" t="inlineStr">
        <is>
          <t>Moll de Castella</t>
        </is>
      </c>
      <c r="D18" s="8" t="inlineStr">
        <is>
          <t>Granel</t>
        </is>
      </c>
      <c r="E18" s="8" t="inlineStr">
        <is>
          <t>Noche</t>
        </is>
      </c>
      <c r="F18" s="8" t="n">
        <v>307</v>
      </c>
      <c r="H18" s="22" t="n">
        <v>46284</v>
      </c>
      <c r="I18" s="8" t="inlineStr">
        <is>
          <t>Hapag Delta</t>
        </is>
      </c>
      <c r="J18" s="8" t="inlineStr">
        <is>
          <t>Moll d'Andalusia</t>
        </is>
      </c>
      <c r="K18" s="8" t="inlineStr">
        <is>
          <t>Granel</t>
        </is>
      </c>
      <c r="L18" s="8" t="inlineStr">
        <is>
          <t>Noche</t>
        </is>
      </c>
      <c r="M18" s="8" t="n">
        <v>373</v>
      </c>
    </row>
    <row r="19">
      <c r="A19" s="22" t="n">
        <v>46279</v>
      </c>
      <c r="B19" s="8" t="inlineStr">
        <is>
          <t>CMA CGM Ebro</t>
        </is>
      </c>
      <c r="C19" s="8" t="inlineStr">
        <is>
          <t>Moll de Catalunya</t>
        </is>
      </c>
      <c r="D19" s="8" t="inlineStr">
        <is>
          <t>Contenedores</t>
        </is>
      </c>
      <c r="E19" s="8" t="inlineStr">
        <is>
          <t>Mañana</t>
        </is>
      </c>
      <c r="F19" s="8" t="n">
        <v>145</v>
      </c>
      <c r="H19" s="22" t="n">
        <v>46292</v>
      </c>
      <c r="I19" s="8" t="inlineStr">
        <is>
          <t>Grimaldi Roma</t>
        </is>
      </c>
      <c r="J19" s="8" t="inlineStr">
        <is>
          <t>Moll d'Aragó</t>
        </is>
      </c>
      <c r="K19" s="8" t="inlineStr">
        <is>
          <t>Contenedores</t>
        </is>
      </c>
      <c r="L19" s="8" t="inlineStr">
        <is>
          <t>Noche</t>
        </is>
      </c>
      <c r="M19" s="8" t="n">
        <v>393</v>
      </c>
    </row>
    <row r="20">
      <c r="A20" s="22" t="n">
        <v>46278</v>
      </c>
      <c r="B20" s="8" t="inlineStr">
        <is>
          <t>Grimaldi Roma</t>
        </is>
      </c>
      <c r="C20" s="8" t="inlineStr">
        <is>
          <t>Moll d'Andalusia</t>
        </is>
      </c>
      <c r="D20" s="8" t="inlineStr">
        <is>
          <t>Ro-Ro</t>
        </is>
      </c>
      <c r="E20" s="8" t="inlineStr">
        <is>
          <t>Tarde</t>
        </is>
      </c>
      <c r="F20" s="8" t="n">
        <v>382</v>
      </c>
      <c r="H20" s="22" t="n">
        <v>46272</v>
      </c>
      <c r="I20" s="8" t="inlineStr">
        <is>
          <t>Hapag Delta</t>
        </is>
      </c>
      <c r="J20" s="8" t="inlineStr">
        <is>
          <t>Moll d'Andalusia</t>
        </is>
      </c>
      <c r="K20" s="8" t="inlineStr">
        <is>
          <t>Granel</t>
        </is>
      </c>
      <c r="L20" s="8" t="inlineStr">
        <is>
          <t>Noche</t>
        </is>
      </c>
      <c r="M20" s="8" t="n">
        <v>267</v>
      </c>
    </row>
    <row r="21">
      <c r="A21" s="22" t="n">
        <v>46273</v>
      </c>
      <c r="B21" s="8" t="inlineStr">
        <is>
          <t>MSC Levante</t>
        </is>
      </c>
      <c r="C21" s="8" t="inlineStr">
        <is>
          <t>Moll de Catalunya</t>
        </is>
      </c>
      <c r="D21" s="8" t="inlineStr">
        <is>
          <t>Contenedores</t>
        </is>
      </c>
      <c r="E21" s="8" t="inlineStr">
        <is>
          <t>Noche</t>
        </is>
      </c>
      <c r="F21" s="8" t="n">
        <v>65</v>
      </c>
      <c r="H21" s="22" t="n">
        <v>46286</v>
      </c>
      <c r="I21" s="8" t="inlineStr">
        <is>
          <t>Grimaldi Roma</t>
        </is>
      </c>
      <c r="J21" s="8" t="inlineStr">
        <is>
          <t>Moll de Catalunya</t>
        </is>
      </c>
      <c r="K21" s="8" t="inlineStr">
        <is>
          <t>Contenedores</t>
        </is>
      </c>
      <c r="L21" s="8" t="inlineStr">
        <is>
          <t>Noche</t>
        </is>
      </c>
      <c r="M21" s="8" t="n">
        <v>286</v>
      </c>
    </row>
    <row r="22">
      <c r="A22" s="22" t="n">
        <v>46283</v>
      </c>
      <c r="B22" s="8" t="inlineStr">
        <is>
          <t>MSC Levante</t>
        </is>
      </c>
      <c r="C22" s="8" t="inlineStr">
        <is>
          <t>Moll d'Aragó</t>
        </is>
      </c>
      <c r="D22" s="8" t="inlineStr">
        <is>
          <t>Contenedores</t>
        </is>
      </c>
      <c r="E22" s="8" t="inlineStr">
        <is>
          <t>Mañana</t>
        </is>
      </c>
      <c r="F22" s="8" t="n">
        <v>289</v>
      </c>
    </row>
    <row r="23">
      <c r="A23" s="22" t="n">
        <v>46268</v>
      </c>
      <c r="B23" s="8" t="inlineStr">
        <is>
          <t>CMA CGM Ebro</t>
        </is>
      </c>
      <c r="C23" s="8" t="inlineStr">
        <is>
          <t>Moll d'Aragó</t>
        </is>
      </c>
      <c r="D23" s="8" t="inlineStr">
        <is>
          <t>Contenedores</t>
        </is>
      </c>
      <c r="E23" s="8" t="inlineStr">
        <is>
          <t>Noche</t>
        </is>
      </c>
      <c r="F23" s="8" t="n">
        <v>170</v>
      </c>
    </row>
    <row r="24">
      <c r="A24" s="22" t="n">
        <v>46275</v>
      </c>
      <c r="B24" s="8" t="inlineStr">
        <is>
          <t>Grimaldi Roma</t>
        </is>
      </c>
      <c r="C24" s="8" t="inlineStr">
        <is>
          <t>Moll d'Andalusia</t>
        </is>
      </c>
      <c r="D24" s="8" t="inlineStr">
        <is>
          <t>Contenedores</t>
        </is>
      </c>
      <c r="E24" s="8" t="inlineStr">
        <is>
          <t>Mañana</t>
        </is>
      </c>
      <c r="F24" s="8" t="n">
        <v>92</v>
      </c>
    </row>
    <row r="25">
      <c r="A25" s="22" t="n">
        <v>46267</v>
      </c>
      <c r="B25" s="8" t="inlineStr">
        <is>
          <t>Grimaldi Roma</t>
        </is>
      </c>
      <c r="C25" s="8" t="inlineStr">
        <is>
          <t>Moll de Catalunya</t>
        </is>
      </c>
      <c r="D25" s="8" t="inlineStr">
        <is>
          <t>Contenedores</t>
        </is>
      </c>
      <c r="E25" s="8" t="inlineStr">
        <is>
          <t>Tarde</t>
        </is>
      </c>
      <c r="F25" s="8" t="n">
        <v>236</v>
      </c>
    </row>
    <row r="26">
      <c r="A26" s="22" t="n">
        <v>46282</v>
      </c>
      <c r="B26" s="8" t="inlineStr">
        <is>
          <t>Grimaldi Roma</t>
        </is>
      </c>
      <c r="C26" s="8" t="inlineStr">
        <is>
          <t>Moll de Castella</t>
        </is>
      </c>
      <c r="D26" s="8" t="inlineStr">
        <is>
          <t>Contenedores</t>
        </is>
      </c>
      <c r="E26" s="8" t="inlineStr">
        <is>
          <t>Tarde</t>
        </is>
      </c>
      <c r="F26" s="8" t="n">
        <v>201</v>
      </c>
    </row>
    <row r="27">
      <c r="A27" s="22" t="n">
        <v>46284</v>
      </c>
      <c r="B27" s="8" t="inlineStr">
        <is>
          <t>Hapag Delta</t>
        </is>
      </c>
      <c r="C27" s="8" t="inlineStr">
        <is>
          <t>Moll d'Andalusia</t>
        </is>
      </c>
      <c r="D27" s="8" t="inlineStr">
        <is>
          <t>Granel</t>
        </is>
      </c>
      <c r="E27" s="8" t="inlineStr">
        <is>
          <t>Noche</t>
        </is>
      </c>
      <c r="F27" s="8" t="n">
        <v>373</v>
      </c>
    </row>
    <row r="28">
      <c r="A28" s="22" t="n">
        <v>46291</v>
      </c>
      <c r="B28" s="8" t="inlineStr">
        <is>
          <t>CMA CGM Ebro</t>
        </is>
      </c>
      <c r="C28" s="8" t="inlineStr">
        <is>
          <t>Moll d'Aragó</t>
        </is>
      </c>
      <c r="D28" s="8" t="inlineStr">
        <is>
          <t>Granel</t>
        </is>
      </c>
      <c r="E28" s="8" t="inlineStr">
        <is>
          <t>Mañana</t>
        </is>
      </c>
      <c r="F28" s="8" t="n">
        <v>315</v>
      </c>
    </row>
    <row r="29">
      <c r="A29" s="22" t="n">
        <v>46287</v>
      </c>
      <c r="B29" s="8" t="inlineStr">
        <is>
          <t>CMA CGM Ebro</t>
        </is>
      </c>
      <c r="C29" s="8" t="inlineStr">
        <is>
          <t>Moll de Catalunya</t>
        </is>
      </c>
      <c r="D29" s="8" t="inlineStr">
        <is>
          <t>Contenedores</t>
        </is>
      </c>
      <c r="E29" s="8" t="inlineStr">
        <is>
          <t>Mañana</t>
        </is>
      </c>
      <c r="F29" s="8" t="n">
        <v>158</v>
      </c>
    </row>
    <row r="30">
      <c r="A30" s="22" t="n">
        <v>46289</v>
      </c>
      <c r="B30" s="8" t="inlineStr">
        <is>
          <t>MSC Levante</t>
        </is>
      </c>
      <c r="C30" s="8" t="inlineStr">
        <is>
          <t>Moll d'Andalusia</t>
        </is>
      </c>
      <c r="D30" s="8" t="inlineStr">
        <is>
          <t>Contenedores</t>
        </is>
      </c>
      <c r="E30" s="8" t="inlineStr">
        <is>
          <t>Tarde</t>
        </is>
      </c>
      <c r="F30" s="8" t="n">
        <v>232</v>
      </c>
    </row>
    <row r="31">
      <c r="A31" s="22" t="n">
        <v>46292</v>
      </c>
      <c r="B31" s="8" t="inlineStr">
        <is>
          <t>Grimaldi Roma</t>
        </is>
      </c>
      <c r="C31" s="8" t="inlineStr">
        <is>
          <t>Moll d'Aragó</t>
        </is>
      </c>
      <c r="D31" s="8" t="inlineStr">
        <is>
          <t>Contenedores</t>
        </is>
      </c>
      <c r="E31" s="8" t="inlineStr">
        <is>
          <t>Noche</t>
        </is>
      </c>
      <c r="F31" s="8" t="n">
        <v>393</v>
      </c>
    </row>
    <row r="32">
      <c r="A32" s="22" t="n">
        <v>46294</v>
      </c>
      <c r="B32" s="8" t="inlineStr">
        <is>
          <t>ONE Mare</t>
        </is>
      </c>
      <c r="C32" s="8" t="inlineStr">
        <is>
          <t>Moll de Castella</t>
        </is>
      </c>
      <c r="D32" s="8" t="inlineStr">
        <is>
          <t>Contenedores</t>
        </is>
      </c>
      <c r="E32" s="8" t="inlineStr">
        <is>
          <t>Mañana</t>
        </is>
      </c>
      <c r="F32" s="8" t="n">
        <v>98</v>
      </c>
    </row>
    <row r="33">
      <c r="A33" s="22" t="n">
        <v>46272</v>
      </c>
      <c r="B33" s="8" t="inlineStr">
        <is>
          <t>Hapag Delta</t>
        </is>
      </c>
      <c r="C33" s="8" t="inlineStr">
        <is>
          <t>Moll d'Andalusia</t>
        </is>
      </c>
      <c r="D33" s="8" t="inlineStr">
        <is>
          <t>Granel</t>
        </is>
      </c>
      <c r="E33" s="8" t="inlineStr">
        <is>
          <t>Noche</t>
        </is>
      </c>
      <c r="F33" s="8" t="n">
        <v>267</v>
      </c>
    </row>
    <row r="34">
      <c r="A34" s="22" t="n">
        <v>46286</v>
      </c>
      <c r="B34" s="8" t="inlineStr">
        <is>
          <t>Grimaldi Roma</t>
        </is>
      </c>
      <c r="C34" s="8" t="inlineStr">
        <is>
          <t>Moll de Catalunya</t>
        </is>
      </c>
      <c r="D34" s="8" t="inlineStr">
        <is>
          <t>Contenedores</t>
        </is>
      </c>
      <c r="E34" s="8" t="inlineStr">
        <is>
          <t>Noche</t>
        </is>
      </c>
      <c r="F34" s="8" t="n">
        <v>286</v>
      </c>
    </row>
  </sheetData>
  <mergeCells count="5">
    <mergeCell ref="A2:L2"/>
    <mergeCell ref="A5:L5"/>
    <mergeCell ref="A6:L6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2026-10-08T11:52:22Z</dcterms:created>
  <dcterms:modified xmlns:dcterms="http://purl.org/dc/terms/" xmlns:xsi="http://www.w3.org/2001/XMLSchema-instance" xsi:type="dcterms:W3CDTF">2026-10-08T11:52:22Z</dcterms:modified>
</cp:coreProperties>
</file>