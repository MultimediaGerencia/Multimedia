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rrección" sheetId="2" state="visible" r:id="rId2"/>
    <sheet xmlns:r="http://schemas.openxmlformats.org/officeDocument/2006/relationships" name="1 Formato" sheetId="3" state="visible" r:id="rId3"/>
    <sheet xmlns:r="http://schemas.openxmlformats.org/officeDocument/2006/relationships" name="2 Formatos número" sheetId="4" state="visible" r:id="rId4"/>
    <sheet xmlns:r="http://schemas.openxmlformats.org/officeDocument/2006/relationships" name="3 Formato condicional" sheetId="5" state="visible" r:id="rId5"/>
    <sheet xmlns:r="http://schemas.openxmlformats.org/officeDocument/2006/relationships" name="4 Autosuma" sheetId="6" state="visible" r:id="rId6"/>
    <sheet xmlns:r="http://schemas.openxmlformats.org/officeDocument/2006/relationships" name="5 Función SI" sheetId="7" state="visible" r:id="rId7"/>
    <sheet xmlns:r="http://schemas.openxmlformats.org/officeDocument/2006/relationships" name="6 Ordenar y filtrar" sheetId="8" state="visible" r:id="rId8"/>
    <sheet xmlns:r="http://schemas.openxmlformats.org/officeDocument/2006/relationships" name="7 Filtro avanzado" sheetId="9" state="visible" r:id="rId9"/>
  </sheets>
  <definedNames>
    <definedName name="_xlnm._FilterDatabase" localSheetId="7" hidden="1">'6 Ordenar y filtrar'!$A$8:$G$38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[$-C0A]dddd, d &quot;de&quot; mmmm &quot;de&quot; yyyy;@"/>
    <numFmt numFmtId="166" formatCode="hh:mm"/>
    <numFmt numFmtId="167" formatCode="#,##0.00 &quot;€&quot;"/>
    <numFmt numFmtId="168" formatCode="_-* #,##0.00 &quot;€&quot;_-;-* #,##0.00 &quot;€&quot;_-;_-* &quot;-&quot;?? &quot;€&quot;_-;_-@_-"/>
    <numFmt numFmtId="169" formatCode="0.0%"/>
    <numFmt numFmtId="170" formatCode="0.0"/>
    <numFmt numFmtId="171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i val="1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FFFFFF"/>
      <sz val="16"/>
    </font>
    <font>
      <name val="Arial"/>
      <i val="1"/>
      <color rgb="00595959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gradientFill type="linear">
        <stop position="0">
          <color rgb="001F3864"/>
        </stop>
        <stop position="1">
          <color rgb="009DC3E6"/>
        </stop>
      </gradientFill>
    </fill>
    <fill>
      <patternFill patternType="solid">
        <fgColor rgb="001F3864"/>
      </patternFill>
    </fill>
    <fill>
      <patternFill patternType="gray125">
        <fgColor rgb="0000B050"/>
        <bgColor rgb="00E2EFDA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uble">
        <color rgb="001F3864"/>
      </left>
      <right style="dotted">
        <color rgb="00808080"/>
      </right>
      <top style="double">
        <color rgb="001F3864"/>
      </top>
      <bottom style="dotted">
        <color rgb="00808080"/>
      </bottom>
    </border>
    <border>
      <left style="dotted">
        <color rgb="00808080"/>
      </left>
      <right style="dotted">
        <color rgb="00808080"/>
      </right>
      <top style="double">
        <color rgb="001F3864"/>
      </top>
      <bottom style="dotted">
        <color rgb="00808080"/>
      </bottom>
    </border>
    <border>
      <left style="dotted">
        <color rgb="00808080"/>
      </left>
      <right style="double">
        <color rgb="001F3864"/>
      </right>
      <top style="double">
        <color rgb="001F3864"/>
      </top>
      <bottom style="dotted">
        <color rgb="00808080"/>
      </bottom>
    </border>
    <border>
      <left style="double">
        <color rgb="001F3864"/>
      </left>
      <right style="dotted">
        <color rgb="00808080"/>
      </right>
      <top style="dotted">
        <color rgb="00808080"/>
      </top>
      <bottom style="dotted">
        <color rgb="00808080"/>
      </bottom>
    </border>
    <border>
      <left style="dotted">
        <color rgb="00808080"/>
      </left>
      <right style="dotted">
        <color rgb="00808080"/>
      </right>
      <top style="dotted">
        <color rgb="00808080"/>
      </top>
      <bottom style="dotted">
        <color rgb="00808080"/>
      </bottom>
    </border>
    <border>
      <left style="dotted">
        <color rgb="00808080"/>
      </left>
      <right style="double">
        <color rgb="001F3864"/>
      </right>
      <top style="dotted">
        <color rgb="00808080"/>
      </top>
      <bottom style="dotted">
        <color rgb="00808080"/>
      </bottom>
    </border>
    <border>
      <left style="double">
        <color rgb="001F3864"/>
      </left>
      <right style="dotted">
        <color rgb="00808080"/>
      </right>
      <top style="dotted">
        <color rgb="00808080"/>
      </top>
      <bottom style="double">
        <color rgb="001F3864"/>
      </bottom>
    </border>
    <border>
      <left style="dotted">
        <color rgb="00808080"/>
      </left>
      <right style="dotted">
        <color rgb="00808080"/>
      </right>
      <top style="dotted">
        <color rgb="00808080"/>
      </top>
      <bottom style="double">
        <color rgb="001F3864"/>
      </bottom>
    </border>
    <border>
      <left style="dotted">
        <color rgb="00808080"/>
      </left>
      <right style="double">
        <color rgb="001F3864"/>
      </right>
      <top style="dotted">
        <color rgb="00808080"/>
      </top>
      <bottom style="double">
        <color rgb="001F3864"/>
      </bottom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textRotation="45"/>
    </xf>
    <xf numFmtId="0" fontId="5" fillId="5" borderId="3" applyAlignment="1" pivotButton="0" quotePrefix="0" xfId="0">
      <alignment horizontal="center" vertical="center" textRotation="45"/>
    </xf>
    <xf numFmtId="0" fontId="5" fillId="5" borderId="4" applyAlignment="1" pivotButton="0" quotePrefix="0" xfId="0">
      <alignment horizontal="center" vertical="center" textRotation="45"/>
    </xf>
    <xf numFmtId="0" fontId="4" fillId="0" borderId="0" pivotButton="0" quotePrefix="0" xfId="0"/>
    <xf numFmtId="0" fontId="8" fillId="0" borderId="0" pivotButton="0" quotePrefix="0" xfId="0"/>
    <xf numFmtId="0" fontId="3" fillId="0" borderId="5" pivotButton="0" quotePrefix="0" xfId="0"/>
    <xf numFmtId="0" fontId="4" fillId="0" borderId="6" pivotButton="0" quotePrefix="0" xfId="0"/>
    <xf numFmtId="0" fontId="4" fillId="6" borderId="6" pivotButton="0" quotePrefix="0" xfId="0"/>
    <xf numFmtId="0" fontId="10" fillId="0" borderId="7" pivotButton="0" quotePrefix="0" xfId="0"/>
    <xf numFmtId="0" fontId="3" fillId="0" borderId="8" pivotButton="0" quotePrefix="0" xfId="0"/>
    <xf numFmtId="0" fontId="4" fillId="0" borderId="9" pivotButton="0" quotePrefix="0" xfId="0"/>
    <xf numFmtId="0" fontId="4" fillId="6" borderId="9" pivotButton="0" quotePrefix="0" xfId="0"/>
    <xf numFmtId="0" fontId="10" fillId="0" borderId="10" pivotButton="0" quotePrefix="0" xfId="0"/>
    <xf numFmtId="0" fontId="5" fillId="5" borderId="1" applyAlignment="1" pivotButton="0" quotePrefix="0" xfId="0">
      <alignment horizontal="center" vertical="center" textRotation="45"/>
    </xf>
    <xf numFmtId="165" fontId="4" fillId="2" borderId="1" pivotButton="0" quotePrefix="0" xfId="0"/>
    <xf numFmtId="166" fontId="4" fillId="2" borderId="1" pivotButton="0" quotePrefix="0" xfId="0"/>
    <xf numFmtId="3" fontId="4" fillId="2" borderId="1" pivotButton="0" quotePrefix="0" xfId="0"/>
    <xf numFmtId="11" fontId="4" fillId="2" borderId="1" pivotButton="0" quotePrefix="0" xfId="0"/>
    <xf numFmtId="167" fontId="4" fillId="2" borderId="1" pivotButton="0" quotePrefix="0" xfId="0"/>
    <xf numFmtId="168" fontId="4" fillId="2" borderId="1" pivotButton="0" quotePrefix="0" xfId="0"/>
    <xf numFmtId="169" fontId="4" fillId="2" borderId="1" pivotButton="0" quotePrefix="0" xfId="0"/>
    <xf numFmtId="12" fontId="4" fillId="2" borderId="1" pivotButton="0" quotePrefix="0" xfId="0"/>
    <xf numFmtId="170" fontId="4" fillId="2" borderId="1" pivotButton="0" quotePrefix="0" xfId="0"/>
    <xf numFmtId="0" fontId="3" fillId="2" borderId="11" pivotButton="0" quotePrefix="0" xfId="0"/>
    <xf numFmtId="0" fontId="4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171" fontId="4" fillId="0" borderId="1" pivotButton="0" quotePrefix="0" xfId="0"/>
    <xf numFmtId="0" fontId="2" fillId="0" borderId="1" applyAlignment="1" pivotButton="0" quotePrefix="0" xfId="0">
      <alignment vertical="center" wrapText="1"/>
    </xf>
    <xf numFmtId="0" fontId="5" fillId="3" borderId="1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color rgb="009C0006"/>
      </font>
      <fill>
        <patternFill patternType="solid">
          <bgColor rgb="00FFC7CE"/>
        </patternFill>
      </fill>
    </dxf>
    <dxf>
      <font>
        <color rgb="009C5700"/>
      </font>
      <fill>
        <patternFill patternType="solid">
          <bgColor rgb="00FFEB9C"/>
        </patternFill>
      </fill>
    </dxf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10" customWidth="1" min="3" max="3"/>
  </cols>
  <sheetData>
    <row r="1">
      <c r="A1" s="1" t="inlineStr">
        <is>
          <t>SIMULACIÓN · EXAMEN PRÁCTICO DE EXCEL — Puerto de Tarragona</t>
        </is>
      </c>
    </row>
    <row r="2">
      <c r="A2" s="2" t="inlineStr">
        <is>
          <t>Esta simulación es igual que el examen de mañana: mismas pestañas, mismo tipo de tareas y misma puntuación.</t>
        </is>
      </c>
    </row>
    <row r="3">
      <c r="A3" s="2" t="inlineStr">
        <is>
          <t>Cada pestaña es un ejercicio independiente con sus instrucciones en la parte superior.</t>
        </is>
      </c>
    </row>
    <row r="4">
      <c r="A4" s="2" t="inlineStr">
        <is>
          <t>Las celdas de color AMARILLO son las que tienes que rellenar. El resto de datos ya están introducidos.</t>
        </is>
      </c>
    </row>
    <row r="5">
      <c r="A5" s="2" t="inlineStr">
        <is>
          <t>Al terminar, guarda el archivo con tu nombre (Archivo &gt; Guardar como).</t>
        </is>
      </c>
    </row>
    <row r="7">
      <c r="A7" s="3" t="inlineStr">
        <is>
          <t>Nombre y apellidos:</t>
        </is>
      </c>
      <c r="B7" s="4" t="n"/>
      <c r="C7" s="5" t="n"/>
      <c r="D7" s="5" t="n"/>
      <c r="E7" s="5" t="n"/>
    </row>
    <row r="8">
      <c r="A8" s="3" t="inlineStr">
        <is>
          <t>Fecha:</t>
        </is>
      </c>
      <c r="B8" s="4" t="n"/>
    </row>
    <row r="10">
      <c r="A10" s="6" t="inlineStr">
        <is>
          <t>Ejercicio</t>
        </is>
      </c>
      <c r="B10" s="6" t="inlineStr">
        <is>
          <t>Contenido</t>
        </is>
      </c>
      <c r="C10" s="6" t="inlineStr">
        <is>
          <t>Puntos</t>
        </is>
      </c>
    </row>
    <row r="11">
      <c r="A11" s="7" t="inlineStr">
        <is>
          <t>1</t>
        </is>
      </c>
      <c r="B11" s="7" t="inlineStr">
        <is>
          <t>Portapapeles y formato de celdas (fuente, alineación, bordes, relleno)</t>
        </is>
      </c>
      <c r="C11" s="7" t="n">
        <v>2</v>
      </c>
    </row>
    <row r="12">
      <c r="A12" s="7" t="inlineStr">
        <is>
          <t>2</t>
        </is>
      </c>
      <c r="B12" s="7" t="inlineStr">
        <is>
          <t>Formatos de número (todas las categorías)</t>
        </is>
      </c>
      <c r="C12" s="7" t="n">
        <v>2</v>
      </c>
    </row>
    <row r="13">
      <c r="A13" s="7" t="inlineStr">
        <is>
          <t>3</t>
        </is>
      </c>
      <c r="B13" s="7" t="inlineStr">
        <is>
          <t>Formato condicional</t>
        </is>
      </c>
      <c r="C13" s="7" t="n">
        <v>1.5</v>
      </c>
    </row>
    <row r="14">
      <c r="A14" s="7" t="inlineStr">
        <is>
          <t>4</t>
        </is>
      </c>
      <c r="B14" s="7" t="inlineStr">
        <is>
          <t>Funciones con Autosuma: SUMA, PROMEDIO, CONTAR, MÁX y MÍN</t>
        </is>
      </c>
      <c r="C14" s="7" t="n">
        <v>1.5</v>
      </c>
    </row>
    <row r="15">
      <c r="A15" s="7" t="inlineStr">
        <is>
          <t>5</t>
        </is>
      </c>
      <c r="B15" s="7" t="inlineStr">
        <is>
          <t>Función SI</t>
        </is>
      </c>
      <c r="C15" s="7" t="n">
        <v>1</v>
      </c>
    </row>
    <row r="16">
      <c r="A16" s="7" t="inlineStr">
        <is>
          <t>6</t>
        </is>
      </c>
      <c r="B16" s="7" t="inlineStr">
        <is>
          <t>Ordenar y filtrar</t>
        </is>
      </c>
      <c r="C16" s="7" t="n">
        <v>1</v>
      </c>
    </row>
    <row r="17">
      <c r="A17" s="7" t="inlineStr">
        <is>
          <t>7</t>
        </is>
      </c>
      <c r="B17" s="7" t="inlineStr">
        <is>
          <t>Filtro avanzado (para subir nota)</t>
        </is>
      </c>
      <c r="C17" s="7" t="n">
        <v>1</v>
      </c>
    </row>
    <row r="18">
      <c r="B18" s="8" t="inlineStr">
        <is>
          <t>TOTAL</t>
        </is>
      </c>
      <c r="C18" s="8">
        <f>SUM(C11:C17)</f>
        <v/>
      </c>
    </row>
    <row r="20">
      <c r="A20" s="9" t="inlineStr">
        <is>
          <t>Consejo: lee toda la tarea antes de empezar. Si te bloqueas en un ejercicio, pasa al siguiente y vuelve después.</t>
        </is>
      </c>
    </row>
  </sheetData>
  <mergeCells count="1">
    <mergeCell ref="B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8" customWidth="1" min="3" max="3"/>
    <col width="62" customWidth="1" min="4" max="4"/>
    <col width="8" customWidth="1" min="5" max="5"/>
  </cols>
  <sheetData>
    <row r="1">
      <c r="A1" s="1" t="inlineStr">
        <is>
          <t>HOJA DE CORRECCIÓN · Simulación examen práctico de Excel</t>
        </is>
      </c>
    </row>
    <row r="2">
      <c r="A2" s="2" t="inlineStr">
        <is>
          <t>Marca en la columna 'Nota' la puntuación obtenida en cada tarea (0 / la mitad / completa). La suma es automática.</t>
        </is>
      </c>
    </row>
    <row r="4">
      <c r="A4" s="6" t="inlineStr">
        <is>
          <t>Ej.</t>
        </is>
      </c>
      <c r="B4" s="6" t="inlineStr">
        <is>
          <t>Tarea</t>
        </is>
      </c>
      <c r="C4" s="6" t="inlineStr">
        <is>
          <t>Puntos</t>
        </is>
      </c>
      <c r="D4" s="6" t="inlineStr">
        <is>
          <t>Solución / qué mirar</t>
        </is>
      </c>
      <c r="E4" s="6" t="inlineStr">
        <is>
          <t>Nota</t>
        </is>
      </c>
    </row>
    <row r="5">
      <c r="A5" s="7" t="inlineStr">
        <is>
          <t>1</t>
        </is>
      </c>
      <c r="B5" s="7" t="inlineStr">
        <is>
          <t>T1 Copiar filas pendientes en A24:F25</t>
        </is>
      </c>
      <c r="C5" s="7" t="n">
        <v>0.2</v>
      </c>
      <c r="D5" s="7" t="inlineStr">
        <is>
          <t>ONE Mare y Grimaldi Roma dentro de la tabla</t>
        </is>
      </c>
      <c r="E5" s="4" t="n"/>
    </row>
    <row r="6">
      <c r="A6" s="7" t="inlineStr">
        <is>
          <t>1</t>
        </is>
      </c>
      <c r="B6" s="7" t="inlineStr">
        <is>
          <t>T2 Cortar nota H22 → F21</t>
        </is>
      </c>
      <c r="C6" s="7" t="n">
        <v>0.2</v>
      </c>
      <c r="D6" s="7" t="inlineStr">
        <is>
          <t>H22 queda vacía (si está duplicada = copió, no cortó: 0,1)</t>
        </is>
      </c>
      <c r="E6" s="4" t="n"/>
    </row>
    <row r="7">
      <c r="A7" s="7" t="inlineStr">
        <is>
          <t>1</t>
        </is>
      </c>
      <c r="B7" s="7" t="inlineStr">
        <is>
          <t>T3 Título combinado, Arial 16, negrita, blanco</t>
        </is>
      </c>
      <c r="C7" s="7" t="n">
        <v>0.2</v>
      </c>
      <c r="D7" s="7" t="inlineStr"/>
      <c r="E7" s="4" t="n"/>
    </row>
    <row r="8">
      <c r="A8" s="7" t="inlineStr">
        <is>
          <t>1</t>
        </is>
      </c>
      <c r="B8" s="7" t="inlineStr">
        <is>
          <t>T4 Degradado dos colores</t>
        </is>
      </c>
      <c r="C8" s="7" t="n">
        <v>0.2</v>
      </c>
      <c r="D8" s="7" t="inlineStr">
        <is>
          <t>Cualquier par azul oscuro/claro</t>
        </is>
      </c>
      <c r="E8" s="4" t="n"/>
    </row>
    <row r="9">
      <c r="A9" s="7" t="inlineStr">
        <is>
          <t>1</t>
        </is>
      </c>
      <c r="B9" s="7" t="inlineStr">
        <is>
          <t>T5 Encabezados blancos/azul, centrados, 45°</t>
        </is>
      </c>
      <c r="C9" s="7" t="n">
        <v>0.2</v>
      </c>
      <c r="D9" s="7" t="inlineStr">
        <is>
          <t>La orientación es lo que más falla</t>
        </is>
      </c>
      <c r="E9" s="4" t="n"/>
    </row>
    <row r="10">
      <c r="A10" s="7" t="inlineStr">
        <is>
          <t>1</t>
        </is>
      </c>
      <c r="B10" s="7" t="inlineStr">
        <is>
          <t>T6 Contorno doble azul + interior punteado gris</t>
        </is>
      </c>
      <c r="C10" s="7" t="n">
        <v>0.2</v>
      </c>
      <c r="D10" s="7" t="inlineStr">
        <is>
          <t>0,1 si solo uno de los dos</t>
        </is>
      </c>
      <c r="E10" s="4" t="n"/>
    </row>
    <row r="11">
      <c r="A11" s="7" t="inlineStr">
        <is>
          <t>1</t>
        </is>
      </c>
      <c r="B11" s="7" t="inlineStr">
        <is>
          <t>T7 Columna Muelle con fondo y trama</t>
        </is>
      </c>
      <c r="C11" s="7" t="n">
        <v>0.2</v>
      </c>
      <c r="D11" s="7" t="inlineStr">
        <is>
          <t>Cualquier estilo de trama</t>
        </is>
      </c>
      <c r="E11" s="4" t="n"/>
    </row>
    <row r="12">
      <c r="A12" s="7" t="inlineStr">
        <is>
          <t>1</t>
        </is>
      </c>
      <c r="B12" s="7" t="inlineStr">
        <is>
          <t>T8 Buque negrita · Observaciones cursiva gris</t>
        </is>
      </c>
      <c r="C12" s="7" t="n">
        <v>0.2</v>
      </c>
      <c r="D12" s="7" t="inlineStr"/>
      <c r="E12" s="4" t="n"/>
    </row>
    <row r="13">
      <c r="A13" s="7" t="inlineStr">
        <is>
          <t>1</t>
        </is>
      </c>
      <c r="B13" s="7" t="inlineStr">
        <is>
          <t>T9 Brocha en títulos del resumen</t>
        </is>
      </c>
      <c r="C13" s="7" t="n">
        <v>0.2</v>
      </c>
      <c r="D13" s="7" t="inlineStr">
        <is>
          <t>Mismo formato que A17:F17</t>
        </is>
      </c>
      <c r="E13" s="4" t="n"/>
    </row>
    <row r="14">
      <c r="A14" s="7" t="inlineStr">
        <is>
          <t>1</t>
        </is>
      </c>
      <c r="B14" s="7" t="inlineStr">
        <is>
          <t>T10 Ancho de columnas ajustado</t>
        </is>
      </c>
      <c r="C14" s="7" t="n">
        <v>0.2</v>
      </c>
      <c r="D14" s="7" t="inlineStr">
        <is>
          <t>No debe verse ###### ni texto cortado</t>
        </is>
      </c>
      <c r="E14" s="4" t="n"/>
    </row>
    <row r="15">
      <c r="A15" s="7" t="inlineStr">
        <is>
          <t>2</t>
        </is>
      </c>
      <c r="B15" s="7" t="inlineStr">
        <is>
          <t>T1 Fecha larga</t>
        </is>
      </c>
      <c r="C15" s="7" t="n">
        <v>0.25</v>
      </c>
      <c r="D15" s="7" t="inlineStr">
        <is>
          <t>jueves, 1 de octubre de 2026</t>
        </is>
      </c>
      <c r="E15" s="4" t="n"/>
    </row>
    <row r="16">
      <c r="A16" s="7" t="inlineStr">
        <is>
          <t>2</t>
        </is>
      </c>
      <c r="B16" s="7" t="inlineStr">
        <is>
          <t>T2 Hora hh:mm</t>
        </is>
      </c>
      <c r="C16" s="7" t="n">
        <v>0.25</v>
      </c>
      <c r="D16" s="7" t="inlineStr">
        <is>
          <t>06:00</t>
        </is>
      </c>
      <c r="E16" s="4" t="n"/>
    </row>
    <row r="17">
      <c r="A17" s="7" t="inlineStr">
        <is>
          <t>2</t>
        </is>
      </c>
      <c r="B17" s="7" t="inlineStr">
        <is>
          <t>T3 Número con separador de miles</t>
        </is>
      </c>
      <c r="C17" s="7" t="n">
        <v>0.25</v>
      </c>
      <c r="D17" s="7" t="inlineStr">
        <is>
          <t>1.463</t>
        </is>
      </c>
      <c r="E17" s="4" t="n"/>
    </row>
    <row r="18">
      <c r="A18" s="7" t="inlineStr">
        <is>
          <t>2</t>
        </is>
      </c>
      <c r="B18" s="7" t="inlineStr">
        <is>
          <t>T4 Científica 2 decimales</t>
        </is>
      </c>
      <c r="C18" s="7" t="n">
        <v>0.25</v>
      </c>
      <c r="D18" s="7" t="inlineStr">
        <is>
          <t>1,79E+07</t>
        </is>
      </c>
      <c r="E18" s="4" t="n"/>
    </row>
    <row r="19">
      <c r="A19" s="7" t="inlineStr">
        <is>
          <t>2</t>
        </is>
      </c>
      <c r="B19" s="7" t="inlineStr">
        <is>
          <t>T5 Moneda 2 decimales €</t>
        </is>
      </c>
      <c r="C19" s="7" t="n">
        <v>0.25</v>
      </c>
      <c r="D19" s="7" t="inlineStr">
        <is>
          <t>38,50 €</t>
        </is>
      </c>
      <c r="E19" s="4" t="n"/>
    </row>
    <row r="20">
      <c r="A20" s="7" t="inlineStr">
        <is>
          <t>2</t>
        </is>
      </c>
      <c r="B20" s="7" t="inlineStr">
        <is>
          <t>T6 Contabilidad 2 decimales €</t>
        </is>
      </c>
      <c r="C20" s="7" t="n">
        <v>0.25</v>
      </c>
      <c r="D20" s="7" t="inlineStr">
        <is>
          <t>Alineación tipo contable</t>
        </is>
      </c>
      <c r="E20" s="4" t="n"/>
    </row>
    <row r="21">
      <c r="A21" s="7" t="inlineStr">
        <is>
          <t>2</t>
        </is>
      </c>
      <c r="B21" s="7" t="inlineStr">
        <is>
          <t>T7 Porcentaje 1 decimal</t>
        </is>
      </c>
      <c r="C21" s="7" t="n">
        <v>0.25</v>
      </c>
      <c r="D21" s="7" t="inlineStr">
        <is>
          <t>72,0 %</t>
        </is>
      </c>
      <c r="E21" s="4" t="n"/>
    </row>
    <row r="22">
      <c r="A22" s="7" t="inlineStr">
        <is>
          <t>2</t>
        </is>
      </c>
      <c r="B22" s="7" t="inlineStr">
        <is>
          <t>T8 Fracción un dígito</t>
        </is>
      </c>
      <c r="C22" s="7" t="n">
        <v>0.25</v>
      </c>
      <c r="D22" s="7" t="inlineStr">
        <is>
          <t>3/4, 1/2, 1, 1/4</t>
        </is>
      </c>
      <c r="E22" s="4" t="n"/>
    </row>
    <row r="23">
      <c r="A23" s="7" t="inlineStr">
        <is>
          <t>3</t>
        </is>
      </c>
      <c r="B23" s="7" t="inlineStr">
        <is>
          <t>T1 Horas &gt; 40 en rojo</t>
        </is>
      </c>
      <c r="C23" s="7" t="n">
        <v>0.25</v>
      </c>
      <c r="D23" s="7" t="inlineStr">
        <is>
          <t>6 celdas resaltadas (40 exactas NO)</t>
        </is>
      </c>
      <c r="E23" s="4" t="n"/>
    </row>
    <row r="24">
      <c r="A24" s="7" t="inlineStr">
        <is>
          <t>3</t>
        </is>
      </c>
      <c r="B24" s="7" t="inlineStr">
        <is>
          <t>T2 Texto 'Noche' en amarillo</t>
        </is>
      </c>
      <c r="C24" s="7" t="n">
        <v>0.25</v>
      </c>
      <c r="D24" s="7" t="inlineStr">
        <is>
          <t>4 celdas</t>
        </is>
      </c>
      <c r="E24" s="4" t="n"/>
    </row>
    <row r="25">
      <c r="A25" s="7" t="inlineStr">
        <is>
          <t>3</t>
        </is>
      </c>
      <c r="B25" s="7" t="inlineStr">
        <is>
          <t>T3 3 superiores en verde</t>
        </is>
      </c>
      <c r="C25" s="7" t="n">
        <v>0.25</v>
      </c>
      <c r="D25" s="7" t="inlineStr">
        <is>
          <t>187, 176, 168</t>
        </is>
      </c>
      <c r="E25" s="4" t="n"/>
    </row>
    <row r="26">
      <c r="A26" s="7" t="inlineStr">
        <is>
          <t>3</t>
        </is>
      </c>
      <c r="B26" s="7" t="inlineStr">
        <is>
          <t>T4 Barras de datos</t>
        </is>
      </c>
      <c r="C26" s="7" t="n">
        <v>0.25</v>
      </c>
      <c r="D26" s="7" t="inlineStr"/>
      <c r="E26" s="4" t="n"/>
    </row>
    <row r="27">
      <c r="A27" s="7" t="inlineStr">
        <is>
          <t>3</t>
        </is>
      </c>
      <c r="B27" s="7" t="inlineStr">
        <is>
          <t>T5 Escala de color</t>
        </is>
      </c>
      <c r="C27" s="7" t="n">
        <v>0.25</v>
      </c>
      <c r="D27" s="7" t="inlineStr">
        <is>
          <t>Verde en 0, rojo en 5</t>
        </is>
      </c>
      <c r="E27" s="4" t="n"/>
    </row>
    <row r="28">
      <c r="A28" s="7" t="inlineStr">
        <is>
          <t>3</t>
        </is>
      </c>
      <c r="B28" s="7" t="inlineStr">
        <is>
          <t>T6 Conjunto de iconos</t>
        </is>
      </c>
      <c r="C28" s="7" t="n">
        <v>0.25</v>
      </c>
      <c r="D28" s="7" t="inlineStr"/>
      <c r="E28" s="4" t="n"/>
    </row>
    <row r="29">
      <c r="A29" s="7" t="inlineStr">
        <is>
          <t>4</t>
        </is>
      </c>
      <c r="B29" s="7" t="inlineStr">
        <is>
          <t>T1 SUMA por trabajador</t>
        </is>
      </c>
      <c r="C29" s="7" t="n">
        <v>0.25</v>
      </c>
      <c r="D29" s="7" t="inlineStr">
        <is>
          <t>Joan García = 211</t>
        </is>
      </c>
      <c r="E29" s="4" t="n"/>
    </row>
    <row r="30">
      <c r="A30" s="7" t="inlineStr">
        <is>
          <t>4</t>
        </is>
      </c>
      <c r="B30" s="7" t="inlineStr">
        <is>
          <t>T2 PROMEDIO 1 decimal</t>
        </is>
      </c>
      <c r="C30" s="7" t="n">
        <v>0.25</v>
      </c>
      <c r="D30" s="7" t="inlineStr">
        <is>
          <t>Joan García = 42,2 (no 35,2: los vacíos no cuentan)</t>
        </is>
      </c>
      <c r="E30" s="4" t="n"/>
    </row>
    <row r="31">
      <c r="A31" s="7" t="inlineStr">
        <is>
          <t>4</t>
        </is>
      </c>
      <c r="B31" s="7" t="inlineStr">
        <is>
          <t>T3 CONTAR números</t>
        </is>
      </c>
      <c r="C31" s="7" t="n">
        <v>0.25</v>
      </c>
      <c r="D31" s="7" t="inlineStr">
        <is>
          <t>Joan García = 5</t>
        </is>
      </c>
      <c r="E31" s="4" t="n"/>
    </row>
    <row r="32">
      <c r="A32" s="7" t="inlineStr">
        <is>
          <t>4</t>
        </is>
      </c>
      <c r="B32" s="7" t="inlineStr">
        <is>
          <t>T4 MÁX y MÍN</t>
        </is>
      </c>
      <c r="C32" s="7" t="n">
        <v>0.25</v>
      </c>
      <c r="D32" s="7" t="inlineStr">
        <is>
          <t>Joan García: 51 y 33</t>
        </is>
      </c>
      <c r="E32" s="4" t="n"/>
    </row>
    <row r="33">
      <c r="A33" s="7" t="inlineStr">
        <is>
          <t>4</t>
        </is>
      </c>
      <c r="B33" s="7" t="inlineStr">
        <is>
          <t>T5 TOTAL DÍA</t>
        </is>
      </c>
      <c r="C33" s="7" t="n">
        <v>0.25</v>
      </c>
      <c r="D33" s="7" t="inlineStr">
        <is>
          <t>Lunes = 293</t>
        </is>
      </c>
      <c r="E33" s="4" t="n"/>
    </row>
    <row r="34">
      <c r="A34" s="7" t="inlineStr">
        <is>
          <t>4</t>
        </is>
      </c>
      <c r="B34" s="7" t="inlineStr">
        <is>
          <t>T6 Total semana en negrita y borde grueso</t>
        </is>
      </c>
      <c r="C34" s="7" t="n">
        <v>0.25</v>
      </c>
      <c r="D34" s="7" t="inlineStr">
        <is>
          <t>1.610</t>
        </is>
      </c>
      <c r="E34" s="4" t="n"/>
    </row>
    <row r="35">
      <c r="A35" s="7" t="inlineStr">
        <is>
          <t>5</t>
        </is>
      </c>
      <c r="B35" s="7" t="inlineStr">
        <is>
          <t>T1 SI horas extra</t>
        </is>
      </c>
      <c r="C35" s="7" t="n">
        <v>0.5</v>
      </c>
      <c r="D35" s="7" t="inlineStr">
        <is>
          <t>SÍ en Marc, Pere, Xavier, Albert y Toni · =SI(C11&gt;40;"SÍ";"NO")</t>
        </is>
      </c>
      <c r="E35" s="4" t="n"/>
    </row>
    <row r="36">
      <c r="A36" s="7" t="inlineStr">
        <is>
          <t>5</t>
        </is>
      </c>
      <c r="B36" s="7" t="inlineStr">
        <is>
          <t>T2 SI plus + formato moneda</t>
        </is>
      </c>
      <c r="C36" s="7" t="n">
        <v>0.5</v>
      </c>
      <c r="D36" s="7" t="inlineStr">
        <is>
          <t>60 € en Sergi, David y Xavier (150 justo SÍ cobra) · =SI(D11&gt;=150;60;0)</t>
        </is>
      </c>
      <c r="E36" s="4" t="n"/>
    </row>
    <row r="37">
      <c r="A37" s="7" t="inlineStr">
        <is>
          <t>6</t>
        </is>
      </c>
      <c r="B37" s="7" t="inlineStr">
        <is>
          <t>P1 Ro-Ro</t>
        </is>
      </c>
      <c r="C37" s="7" t="n">
        <v>0.2</v>
      </c>
      <c r="D37" s="7" t="inlineStr">
        <is>
          <t>5</t>
        </is>
      </c>
      <c r="E37" s="4" t="n"/>
    </row>
    <row r="38">
      <c r="A38" s="7" t="inlineStr">
        <is>
          <t>6</t>
        </is>
      </c>
      <c r="B38" s="7" t="inlineStr">
        <is>
          <t>P2 Tarde + Moll d'Aragó</t>
        </is>
      </c>
      <c r="C38" s="7" t="n">
        <v>0.2</v>
      </c>
      <c r="D38" s="7" t="inlineStr">
        <is>
          <t>2</t>
        </is>
      </c>
      <c r="E38" s="4" t="n"/>
    </row>
    <row r="39">
      <c r="A39" s="7" t="inlineStr">
        <is>
          <t>6</t>
        </is>
      </c>
      <c r="B39" s="7" t="inlineStr">
        <is>
          <t>P3 Entre 200 y 300</t>
        </is>
      </c>
      <c r="C39" s="7" t="n">
        <v>0.2</v>
      </c>
      <c r="D39" s="7" t="inlineStr">
        <is>
          <t>12</t>
        </is>
      </c>
      <c r="E39" s="4" t="n"/>
    </row>
    <row r="40">
      <c r="A40" s="7" t="inlineStr">
        <is>
          <t>6</t>
        </is>
      </c>
      <c r="B40" s="7" t="inlineStr">
        <is>
          <t>P4 Total Hapag Delta</t>
        </is>
      </c>
      <c r="C40" s="7" t="n">
        <v>0.2</v>
      </c>
      <c r="D40" s="7" t="inlineStr">
        <is>
          <t>1047</t>
        </is>
      </c>
      <c r="E40" s="4" t="n"/>
    </row>
    <row r="41">
      <c r="A41" s="7" t="inlineStr">
        <is>
          <t>6</t>
        </is>
      </c>
      <c r="B41" s="7" t="inlineStr">
        <is>
          <t>Orden Terminal A-Z + Contenedores mayor a menor</t>
        </is>
      </c>
      <c r="C41" s="7" t="n">
        <v>0.2</v>
      </c>
      <c r="D41" s="7" t="inlineStr">
        <is>
          <t>Primera fila: MSC Levante (391)</t>
        </is>
      </c>
      <c r="E41" s="4" t="n"/>
    </row>
    <row r="42">
      <c r="A42" s="7" t="inlineStr">
        <is>
          <t>7</t>
        </is>
      </c>
      <c r="B42" s="7" t="inlineStr">
        <is>
          <t>Criterios + resultado copiado en I15</t>
        </is>
      </c>
      <c r="C42" s="7" t="n">
        <v>0.7</v>
      </c>
      <c r="D42" s="7" t="inlineStr">
        <is>
          <t>Ver hoja 7: cabecera + filas resultantes</t>
        </is>
      </c>
      <c r="E42" s="4" t="n"/>
    </row>
    <row r="43">
      <c r="A43" s="7" t="inlineStr">
        <is>
          <t>7</t>
        </is>
      </c>
      <c r="B43" s="7" t="inlineStr">
        <is>
          <t>Número de operaciones en E12</t>
        </is>
      </c>
      <c r="C43" s="7" t="n">
        <v>0.3</v>
      </c>
      <c r="D43" s="7" t="inlineStr">
        <is>
          <t>5</t>
        </is>
      </c>
      <c r="E43" s="4" t="n"/>
    </row>
    <row r="44">
      <c r="B44" s="8" t="inlineStr">
        <is>
          <t>TOTAL</t>
        </is>
      </c>
      <c r="C44" s="8">
        <f>SUM(C5:C43)</f>
        <v/>
      </c>
      <c r="E44" s="8">
        <f>SUM(E5:E43)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9" customWidth="1" min="3" max="3"/>
    <col width="13" customWidth="1" min="4" max="4"/>
    <col width="8" customWidth="1" min="5" max="5"/>
    <col width="38" customWidth="1" min="6" max="6"/>
    <col width="18" customWidth="1" min="8" max="8"/>
  </cols>
  <sheetData>
    <row r="1">
      <c r="A1" s="1" t="inlineStr">
        <is>
          <t>EJERCICIO 1 · Portapapeles y formato de celdas  (2 puntos)</t>
        </is>
      </c>
    </row>
    <row r="2">
      <c r="A2" s="2" t="inlineStr">
        <is>
          <t>El parte diario de operaciones está incompleto y sin formato. Complétalo y dale un aspecto profesional.</t>
        </is>
      </c>
    </row>
    <row r="3">
      <c r="A3" s="2" t="inlineStr">
        <is>
          <t>Cada tarea vale 0,2 puntos.</t>
        </is>
      </c>
    </row>
    <row r="4">
      <c r="A4" s="2" t="inlineStr">
        <is>
          <t>Recuerda: casi todo está en botón derecho &gt; Formato de celdas (pestañas Fuente, Alineación, Bordes y Relleno).</t>
        </is>
      </c>
    </row>
    <row r="5">
      <c r="A5" s="10" t="inlineStr">
        <is>
          <t>TAREA 1 (Copiar): Copia las 2 filas de DATOS PENDIENTES (H18:M19) y pégalas en las filas amarillas de la tabla (A24).</t>
        </is>
      </c>
    </row>
    <row r="6">
      <c r="A6" s="10" t="inlineStr">
        <is>
          <t>TAREA 2 (Cortar): La nota de la celda H22 es del buque Hapag Delta. Córtala y pégala en su casilla de Observaciones (F21).</t>
        </is>
      </c>
    </row>
    <row r="7">
      <c r="A7" s="10" t="inlineStr">
        <is>
          <t>TAREA 3 (Fuente): Combina y centra el título (A16:F16). Ponlo en Arial, tamaño 16, negrita y color de letra blanco.</t>
        </is>
      </c>
    </row>
    <row r="8">
      <c r="A8" s="10" t="inlineStr">
        <is>
          <t>TAREA 4 (Relleno): Al título ponle un degradado de dos colores, azul oscuro y azul claro (Relleno &gt; Efectos de relleno).</t>
        </is>
      </c>
    </row>
    <row r="9">
      <c r="A9" s="10" t="inlineStr">
        <is>
          <t>TAREA 5 (Alineación): Fila de títulos (A17:F17): negrita, letra blanca, relleno azul oscuro, centrada y con orientación de 45 grados.</t>
        </is>
      </c>
    </row>
    <row r="10">
      <c r="A10" s="10" t="inlineStr">
        <is>
          <t>TAREA 6 (Bordes): Toda la tabla (A17:F25): contorno con línea DOBLE azul oscuro y líneas interiores PUNTEADAS de color gris.</t>
        </is>
      </c>
    </row>
    <row r="11">
      <c r="A11" s="10" t="inlineStr">
        <is>
          <t>TAREA 7 (Trama): Columna Muelle (C18:C25): color de fondo verde claro con una trama de puntos verde (Relleno &gt; Color y Estilo de trama).</t>
        </is>
      </c>
    </row>
    <row r="12">
      <c r="A12" s="10" t="inlineStr">
        <is>
          <t>TAREA 8 (Fuente): Columna Buque en negrita. Columna Observaciones en cursiva y color gris oscuro.</t>
        </is>
      </c>
    </row>
    <row r="13">
      <c r="A13" s="10" t="inlineStr">
        <is>
          <t>TAREA 9 (Copiar formato): Con la brocha, copia el formato de la fila de títulos (A17:F17) a los títulos del RESUMEN (A28:C28).</t>
        </is>
      </c>
    </row>
    <row r="14">
      <c r="A14" s="10" t="inlineStr">
        <is>
          <t>TAREA 10: Ajusta el ancho de las columnas para que se lea todo el texto.</t>
        </is>
      </c>
    </row>
    <row r="16" ht="26" customHeight="1">
      <c r="A16" s="11" t="inlineStr">
        <is>
          <t>PARTE DIARIO DE OPERACIONES · PUERTO DE TARRAGONA</t>
        </is>
      </c>
    </row>
    <row r="17" ht="70" customHeight="1">
      <c r="A17" s="12" t="inlineStr">
        <is>
          <t>Buque</t>
        </is>
      </c>
      <c r="B17" s="13" t="inlineStr">
        <is>
          <t>Naviera</t>
        </is>
      </c>
      <c r="C17" s="13" t="inlineStr">
        <is>
          <t>Muelle</t>
        </is>
      </c>
      <c r="D17" s="13" t="inlineStr">
        <is>
          <t>Contenedores</t>
        </is>
      </c>
      <c r="E17" s="13" t="inlineStr">
        <is>
          <t>Grúas</t>
        </is>
      </c>
      <c r="F17" s="14" t="inlineStr">
        <is>
          <t>Observaciones</t>
        </is>
      </c>
      <c r="G17" s="15" t="n"/>
      <c r="H17" s="16" t="inlineStr">
        <is>
          <t>DATOS PENDIENTES (cópialos en la tabla):</t>
        </is>
      </c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>
      <c r="A18" s="17" t="inlineStr">
        <is>
          <t>MSC Aurora</t>
        </is>
      </c>
      <c r="B18" s="18" t="inlineStr">
        <is>
          <t>MSC</t>
        </is>
      </c>
      <c r="C18" s="19" t="inlineStr">
        <is>
          <t>Moll de Catalunya</t>
        </is>
      </c>
      <c r="D18" s="18" t="n">
        <v>412</v>
      </c>
      <c r="E18" s="18" t="n">
        <v>3</v>
      </c>
      <c r="F18" s="20" t="inlineStr">
        <is>
          <t>Sin incidencias</t>
        </is>
      </c>
      <c r="H18" s="15" t="inlineStr">
        <is>
          <t>ONE Mare</t>
        </is>
      </c>
      <c r="I18" s="15" t="inlineStr">
        <is>
          <t>ONE</t>
        </is>
      </c>
      <c r="J18" s="15" t="inlineStr">
        <is>
          <t>Moll d'Andalusia</t>
        </is>
      </c>
      <c r="K18" s="15" t="n">
        <v>175</v>
      </c>
      <c r="L18" s="15" t="n">
        <v>2</v>
      </c>
      <c r="M18" s="15" t="inlineStr">
        <is>
          <t>Mercancía peligrosa (IMO)</t>
        </is>
      </c>
    </row>
    <row r="19">
      <c r="A19" s="17" t="inlineStr">
        <is>
          <t>Maersk Tarragona</t>
        </is>
      </c>
      <c r="B19" s="18" t="inlineStr">
        <is>
          <t>Maersk</t>
        </is>
      </c>
      <c r="C19" s="19" t="inlineStr">
        <is>
          <t>Moll d'Andalusia</t>
        </is>
      </c>
      <c r="D19" s="18" t="n">
        <v>286</v>
      </c>
      <c r="E19" s="18" t="n">
        <v>2</v>
      </c>
      <c r="F19" s="20" t="inlineStr">
        <is>
          <t>Llegada con 1 h de retraso</t>
        </is>
      </c>
      <c r="H19" s="15" t="inlineStr">
        <is>
          <t>Grimaldi Roma</t>
        </is>
      </c>
      <c r="I19" s="15" t="inlineStr">
        <is>
          <t>Grimaldi</t>
        </is>
      </c>
      <c r="J19" s="15" t="inlineStr">
        <is>
          <t>Moll d'Aragó</t>
        </is>
      </c>
      <c r="K19" s="15" t="n">
        <v>96</v>
      </c>
      <c r="L19" s="15" t="n">
        <v>1</v>
      </c>
      <c r="M19" s="15" t="inlineStr">
        <is>
          <t>Ro-Ro: vehículos</t>
        </is>
      </c>
    </row>
    <row r="20">
      <c r="A20" s="17" t="inlineStr">
        <is>
          <t>CMA CGM Ebro</t>
        </is>
      </c>
      <c r="B20" s="18" t="inlineStr">
        <is>
          <t>CMA CGM</t>
        </is>
      </c>
      <c r="C20" s="19" t="inlineStr">
        <is>
          <t>Moll de Catalunya</t>
        </is>
      </c>
      <c r="D20" s="18" t="n">
        <v>358</v>
      </c>
      <c r="E20" s="18" t="n">
        <v>3</v>
      </c>
      <c r="F20" s="20" t="inlineStr">
        <is>
          <t>Sin incidencias</t>
        </is>
      </c>
    </row>
    <row r="21">
      <c r="A21" s="17" t="inlineStr">
        <is>
          <t>Hapag Delta</t>
        </is>
      </c>
      <c r="B21" s="18" t="inlineStr">
        <is>
          <t>Hapag-Lloyd</t>
        </is>
      </c>
      <c r="C21" s="19" t="inlineStr">
        <is>
          <t>Moll de Castella</t>
        </is>
      </c>
      <c r="D21" s="18" t="n">
        <v>197</v>
      </c>
      <c r="E21" s="18" t="n">
        <v>2</v>
      </c>
      <c r="F21" s="20" t="inlineStr">
        <is>
          <t>Avería en la grúa 3: parada de 2 horas</t>
        </is>
      </c>
      <c r="H21" s="16" t="inlineStr">
        <is>
          <t>NOTA (córtala y pégala en F21):</t>
        </is>
      </c>
    </row>
    <row r="22">
      <c r="A22" s="17" t="inlineStr">
        <is>
          <t>Evergreen Costa</t>
        </is>
      </c>
      <c r="B22" s="18" t="inlineStr">
        <is>
          <t>Evergreen</t>
        </is>
      </c>
      <c r="C22" s="19" t="inlineStr">
        <is>
          <t>Moll d'Aragó</t>
        </is>
      </c>
      <c r="D22" s="18" t="n">
        <v>241</v>
      </c>
      <c r="E22" s="18" t="n">
        <v>2</v>
      </c>
      <c r="F22" s="20" t="inlineStr">
        <is>
          <t>Carga refrigerada</t>
        </is>
      </c>
    </row>
    <row r="23">
      <c r="A23" s="17" t="inlineStr">
        <is>
          <t>MSC Levante</t>
        </is>
      </c>
      <c r="B23" s="18" t="inlineStr">
        <is>
          <t>MSC</t>
        </is>
      </c>
      <c r="C23" s="19" t="inlineStr">
        <is>
          <t>Moll de Castella</t>
        </is>
      </c>
      <c r="D23" s="18" t="n">
        <v>330</v>
      </c>
      <c r="E23" s="18" t="n">
        <v>3</v>
      </c>
      <c r="F23" s="20" t="inlineStr">
        <is>
          <t>Sin incidencias</t>
        </is>
      </c>
    </row>
    <row r="24">
      <c r="A24" s="17" t="inlineStr">
        <is>
          <t>ONE Mare</t>
        </is>
      </c>
      <c r="B24" s="18" t="inlineStr">
        <is>
          <t>ONE</t>
        </is>
      </c>
      <c r="C24" s="19" t="inlineStr">
        <is>
          <t>Moll d'Andalusia</t>
        </is>
      </c>
      <c r="D24" s="18" t="n">
        <v>175</v>
      </c>
      <c r="E24" s="18" t="n">
        <v>2</v>
      </c>
      <c r="F24" s="20" t="inlineStr">
        <is>
          <t>Mercancía peligrosa (IMO)</t>
        </is>
      </c>
    </row>
    <row r="25">
      <c r="A25" s="21" t="inlineStr">
        <is>
          <t>Grimaldi Roma</t>
        </is>
      </c>
      <c r="B25" s="22" t="inlineStr">
        <is>
          <t>Grimaldi</t>
        </is>
      </c>
      <c r="C25" s="23" t="inlineStr">
        <is>
          <t>Moll d'Aragó</t>
        </is>
      </c>
      <c r="D25" s="22" t="n">
        <v>96</v>
      </c>
      <c r="E25" s="22" t="n">
        <v>1</v>
      </c>
      <c r="F25" s="24" t="inlineStr">
        <is>
          <t>Ro-Ro: vehículos</t>
        </is>
      </c>
    </row>
    <row r="27">
      <c r="A27" s="3" t="inlineStr">
        <is>
          <t>RESUMEN POR MUELLE</t>
        </is>
      </c>
    </row>
    <row r="28" ht="70" customHeight="1">
      <c r="A28" s="25" t="inlineStr">
        <is>
          <t>Muelle</t>
        </is>
      </c>
      <c r="B28" s="25" t="inlineStr">
        <is>
          <t>Buques</t>
        </is>
      </c>
      <c r="C28" s="25" t="inlineStr">
        <is>
          <t>Contenedores</t>
        </is>
      </c>
    </row>
    <row r="29">
      <c r="A29" s="7" t="inlineStr">
        <is>
          <t>Moll d'Andalusia</t>
        </is>
      </c>
      <c r="B29" s="7" t="n">
        <v>2</v>
      </c>
      <c r="C29" s="7" t="n">
        <v>461</v>
      </c>
    </row>
    <row r="30">
      <c r="A30" s="7" t="inlineStr">
        <is>
          <t>Moll de Catalunya</t>
        </is>
      </c>
      <c r="B30" s="7" t="n">
        <v>2</v>
      </c>
      <c r="C30" s="7" t="n">
        <v>770</v>
      </c>
    </row>
    <row r="31">
      <c r="A31" s="7" t="inlineStr">
        <is>
          <t>Moll de Castella</t>
        </is>
      </c>
      <c r="B31" s="7" t="n">
        <v>2</v>
      </c>
      <c r="C31" s="7" t="n">
        <v>527</v>
      </c>
    </row>
    <row r="32">
      <c r="A32" s="7" t="inlineStr">
        <is>
          <t>Moll d'Aragó</t>
        </is>
      </c>
      <c r="B32" s="7" t="n">
        <v>2</v>
      </c>
      <c r="C32" s="7" t="n">
        <v>337</v>
      </c>
    </row>
  </sheetData>
  <mergeCells count="14">
    <mergeCell ref="A11:P11"/>
    <mergeCell ref="A16:F16"/>
    <mergeCell ref="A10:P10"/>
    <mergeCell ref="A5:P5"/>
    <mergeCell ref="A13:P13"/>
    <mergeCell ref="A14:P14"/>
    <mergeCell ref="A9:P9"/>
    <mergeCell ref="A8:P8"/>
    <mergeCell ref="A6:P6"/>
    <mergeCell ref="A12:P12"/>
    <mergeCell ref="A4:P4"/>
    <mergeCell ref="A3:P3"/>
    <mergeCell ref="A7:P7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4" customWidth="1" min="4" max="4"/>
    <col width="16" customWidth="1" min="5" max="5"/>
    <col width="14" customWidth="1" min="6" max="6"/>
    <col width="16" customWidth="1" min="7" max="7"/>
    <col width="12" customWidth="1" min="8" max="8"/>
    <col width="13" customWidth="1" min="9" max="9"/>
  </cols>
  <sheetData>
    <row r="1">
      <c r="A1" s="1" t="inlineStr">
        <is>
          <t>EJERCICIO 2 · Formatos de número  (2 puntos)</t>
        </is>
      </c>
    </row>
    <row r="2">
      <c r="A2" s="2" t="inlineStr">
        <is>
          <t>Estos datos se han copiado de otro programa y han perdido el formato. Los números son correctos, pero se ven mal.</t>
        </is>
      </c>
    </row>
    <row r="3">
      <c r="A3" s="2" t="inlineStr">
        <is>
          <t>Cada tarea vale 0,25 puntos.</t>
        </is>
      </c>
    </row>
    <row r="4">
      <c r="A4" s="2" t="inlineStr">
        <is>
          <t>Recuerda: selecciona la columna (solo las celdas amarillas) &gt; botón derecho &gt; Formato de celdas &gt; Número.</t>
        </is>
      </c>
    </row>
    <row r="5">
      <c r="A5" s="10" t="inlineStr">
        <is>
          <t>TAREA 1: Fecha llegada → Fecha LARGA (jueves, 1 de octubre de 2026).</t>
        </is>
      </c>
    </row>
    <row r="6">
      <c r="A6" s="10" t="inlineStr">
        <is>
          <t>TAREA 2: Hora atraque → Hora con formato 13:30 (horas y minutos).</t>
        </is>
      </c>
    </row>
    <row r="7">
      <c r="A7" s="10" t="inlineStr">
        <is>
          <t>TAREA 3: Contenedores → Número sin decimales y CON separador de miles (1.463).</t>
        </is>
      </c>
    </row>
    <row r="8">
      <c r="A8" s="10" t="inlineStr">
        <is>
          <t>TAREA 4: Peso carga (kg) → Científica con 2 decimales (1,79E+07).</t>
        </is>
      </c>
    </row>
    <row r="9">
      <c r="A9" s="10" t="inlineStr">
        <is>
          <t>TAREA 5: Tarifa por contenedor → Moneda con 2 decimales y símbolo € (38,50 €).</t>
        </is>
      </c>
    </row>
    <row r="10">
      <c r="A10" s="10" t="inlineStr">
        <is>
          <t>TAREA 6: Coste total → Contabilidad con 2 decimales y símbolo €.</t>
        </is>
      </c>
    </row>
    <row r="11">
      <c r="A11" s="10" t="inlineStr">
        <is>
          <t>TAREA 7: Ocupación → Porcentaje con 1 decimal (72,0 %).</t>
        </is>
      </c>
    </row>
    <row r="12">
      <c r="A12" s="10" t="inlineStr">
        <is>
          <t>TAREA 8: Jornada completada → Fracción de hasta un dígito (3/4).</t>
        </is>
      </c>
    </row>
    <row r="14" ht="32" customHeight="1">
      <c r="A14" s="6" t="inlineStr">
        <is>
          <t>Buque</t>
        </is>
      </c>
      <c r="B14" s="6" t="inlineStr">
        <is>
          <t>Fecha llegada</t>
        </is>
      </c>
      <c r="C14" s="6" t="inlineStr">
        <is>
          <t>Hora atraque</t>
        </is>
      </c>
      <c r="D14" s="6" t="inlineStr">
        <is>
          <t>Contenedores</t>
        </is>
      </c>
      <c r="E14" s="6" t="inlineStr">
        <is>
          <t>Peso carga (kg)</t>
        </is>
      </c>
      <c r="F14" s="6" t="inlineStr">
        <is>
          <t>Tarifa por contenedor</t>
        </is>
      </c>
      <c r="G14" s="6" t="inlineStr">
        <is>
          <t>Coste total</t>
        </is>
      </c>
      <c r="H14" s="6" t="inlineStr">
        <is>
          <t>Ocupación</t>
        </is>
      </c>
      <c r="I14" s="6" t="inlineStr">
        <is>
          <t>Jornada completada</t>
        </is>
      </c>
    </row>
    <row r="15">
      <c r="A15" s="7" t="inlineStr">
        <is>
          <t>MSC Aurora</t>
        </is>
      </c>
      <c r="B15" s="26" t="n">
        <v>46296</v>
      </c>
      <c r="C15" s="27" t="n">
        <v>0.25</v>
      </c>
      <c r="D15" s="28" t="n">
        <v>1463</v>
      </c>
      <c r="E15" s="29" t="n">
        <v>17872300</v>
      </c>
      <c r="F15" s="30" t="n">
        <v>38.5</v>
      </c>
      <c r="G15" s="31" t="n">
        <v>56325.5</v>
      </c>
      <c r="H15" s="32" t="n">
        <v>0.72</v>
      </c>
      <c r="I15" s="33" t="n">
        <v>0.75</v>
      </c>
    </row>
    <row r="16">
      <c r="A16" s="7" t="inlineStr">
        <is>
          <t>Maersk Tarragona</t>
        </is>
      </c>
      <c r="B16" s="26" t="n">
        <v>46297</v>
      </c>
      <c r="C16" s="27" t="n">
        <v>0.3541666666666667</v>
      </c>
      <c r="D16" s="28" t="n">
        <v>992</v>
      </c>
      <c r="E16" s="29" t="n">
        <v>5004100</v>
      </c>
      <c r="F16" s="30" t="n">
        <v>41.2</v>
      </c>
      <c r="G16" s="31" t="n">
        <v>40870.4</v>
      </c>
      <c r="H16" s="32" t="n">
        <v>0.575</v>
      </c>
      <c r="I16" s="33" t="n">
        <v>0.5</v>
      </c>
    </row>
    <row r="17">
      <c r="A17" s="7" t="inlineStr">
        <is>
          <t>CMA CGM Ebro</t>
        </is>
      </c>
      <c r="B17" s="26" t="n">
        <v>46300</v>
      </c>
      <c r="C17" s="27" t="n">
        <v>0.9166666666666666</v>
      </c>
      <c r="D17" s="28" t="n">
        <v>1656</v>
      </c>
      <c r="E17" s="29" t="n">
        <v>17969900</v>
      </c>
      <c r="F17" s="30" t="n">
        <v>36.75</v>
      </c>
      <c r="G17" s="31" t="n">
        <v>60858</v>
      </c>
      <c r="H17" s="32" t="n">
        <v>0.589</v>
      </c>
      <c r="I17" s="33" t="n">
        <v>1</v>
      </c>
    </row>
    <row r="18">
      <c r="A18" s="7" t="inlineStr">
        <is>
          <t>Hapag Delta</t>
        </is>
      </c>
      <c r="B18" s="26" t="n">
        <v>46301</v>
      </c>
      <c r="C18" s="27" t="n">
        <v>0.6041666666666666</v>
      </c>
      <c r="D18" s="28" t="n">
        <v>1053</v>
      </c>
      <c r="E18" s="29" t="n">
        <v>4367800</v>
      </c>
      <c r="F18" s="30" t="n">
        <v>39.9</v>
      </c>
      <c r="G18" s="31" t="n">
        <v>42014.7</v>
      </c>
      <c r="H18" s="32" t="n">
        <v>0.821</v>
      </c>
      <c r="I18" s="33" t="n">
        <v>0.25</v>
      </c>
    </row>
    <row r="19">
      <c r="A19" s="7" t="inlineStr">
        <is>
          <t>Evergreen Costa</t>
        </is>
      </c>
      <c r="B19" s="26" t="n">
        <v>46303</v>
      </c>
      <c r="C19" s="27" t="n">
        <v>0.25</v>
      </c>
      <c r="D19" s="28" t="n">
        <v>1252</v>
      </c>
      <c r="E19" s="29" t="n">
        <v>6024500</v>
      </c>
      <c r="F19" s="30" t="n">
        <v>42.3</v>
      </c>
      <c r="G19" s="31" t="n">
        <v>52959.6</v>
      </c>
      <c r="H19" s="32" t="n">
        <v>0.919</v>
      </c>
      <c r="I19" s="33" t="n">
        <v>0.5</v>
      </c>
    </row>
    <row r="20">
      <c r="A20" s="7" t="inlineStr">
        <is>
          <t>ONE Mare</t>
        </is>
      </c>
      <c r="B20" s="26" t="n">
        <v>46304</v>
      </c>
      <c r="C20" s="27" t="n">
        <v>0.5729166666666666</v>
      </c>
      <c r="D20" s="28" t="n">
        <v>1041</v>
      </c>
      <c r="E20" s="29" t="n">
        <v>13678000</v>
      </c>
      <c r="F20" s="30" t="n">
        <v>37.6</v>
      </c>
      <c r="G20" s="31" t="n">
        <v>39141.6</v>
      </c>
      <c r="H20" s="32" t="n">
        <v>0.791</v>
      </c>
      <c r="I20" s="33" t="n">
        <v>0.75</v>
      </c>
    </row>
    <row r="21">
      <c r="A21" s="7" t="inlineStr">
        <is>
          <t>Grimaldi Roma</t>
        </is>
      </c>
      <c r="B21" s="26" t="n">
        <v>46307</v>
      </c>
      <c r="C21" s="27" t="n">
        <v>0.8854166666666666</v>
      </c>
      <c r="D21" s="28" t="n">
        <v>2108</v>
      </c>
      <c r="E21" s="29" t="n">
        <v>14332700</v>
      </c>
      <c r="F21" s="30" t="n">
        <v>35.2</v>
      </c>
      <c r="G21" s="31" t="n">
        <v>74201.60000000001</v>
      </c>
      <c r="H21" s="32" t="n">
        <v>0.592</v>
      </c>
      <c r="I21" s="33" t="n">
        <v>0.25</v>
      </c>
    </row>
    <row r="22">
      <c r="A22" s="7" t="inlineStr">
        <is>
          <t>MSC Levante</t>
        </is>
      </c>
      <c r="B22" s="26" t="n">
        <v>46309</v>
      </c>
      <c r="C22" s="27" t="n">
        <v>0.3125</v>
      </c>
      <c r="D22" s="28" t="n">
        <v>1816</v>
      </c>
      <c r="E22" s="29" t="n">
        <v>13747300</v>
      </c>
      <c r="F22" s="30" t="n">
        <v>38.5</v>
      </c>
      <c r="G22" s="31" t="n">
        <v>69916</v>
      </c>
      <c r="H22" s="32" t="n">
        <v>0.734</v>
      </c>
      <c r="I22" s="33" t="n">
        <v>1</v>
      </c>
    </row>
  </sheetData>
  <mergeCells count="11">
    <mergeCell ref="A5:J5"/>
    <mergeCell ref="A8:J8"/>
    <mergeCell ref="A6:J6"/>
    <mergeCell ref="A9:J9"/>
    <mergeCell ref="A3:J3"/>
    <mergeCell ref="A12:J12"/>
    <mergeCell ref="A4:J4"/>
    <mergeCell ref="A7:J7"/>
    <mergeCell ref="A2:J2"/>
    <mergeCell ref="A10:J10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6" customWidth="1" min="4" max="4"/>
    <col width="13" customWidth="1" min="5" max="5"/>
    <col width="14" customWidth="1" min="6" max="6"/>
  </cols>
  <sheetData>
    <row r="1">
      <c r="A1" s="1" t="inlineStr">
        <is>
          <t>EJERCICIO 3 · Formato condicional  (1,5 puntos)</t>
        </is>
      </c>
    </row>
    <row r="2">
      <c r="A2" s="2" t="inlineStr">
        <is>
          <t>El capataz quiere ver de un vistazo quién hace demasiadas horas, quién rinde más y quién tiene incidencias.</t>
        </is>
      </c>
    </row>
    <row r="3">
      <c r="A3" s="2" t="inlineStr">
        <is>
          <t>Cada tarea vale 0,25 puntos.</t>
        </is>
      </c>
    </row>
    <row r="4">
      <c r="A4" s="2" t="inlineStr">
        <is>
          <t>Recuerda: selecciona SOLO los datos de la columna (sin el título) → Inicio &gt; Formato condicional.</t>
        </is>
      </c>
    </row>
    <row r="5">
      <c r="A5" s="10" t="inlineStr">
        <is>
          <t>TAREA 1: Horas semana → resalta en ROJO (relleno rojo claro con texto rojo oscuro) las celdas MAYORES que 40.</t>
        </is>
      </c>
    </row>
    <row r="6">
      <c r="A6" s="10" t="inlineStr">
        <is>
          <t>TAREA 2: Turno → resalta en AMARILLO las celdas con el texto 'Noche' (Resaltar reglas &gt; Texto que contiene).</t>
        </is>
      </c>
    </row>
    <row r="7">
      <c r="A7" s="10" t="inlineStr">
        <is>
          <t>TAREA 3: Contenedores → resalta en VERDE los 3 valores más altos (Reglas superiores e inferiores &gt; 10 superiores → cambia 10 por 3).</t>
        </is>
      </c>
    </row>
    <row r="8">
      <c r="A8" s="10" t="inlineStr">
        <is>
          <t>TAREA 4: Contenedores → añade también BARRAS DE DATOS del color que quieras.</t>
        </is>
      </c>
    </row>
    <row r="9">
      <c r="A9" s="10" t="inlineStr">
        <is>
          <t>TAREA 5: Incidencias → aplica una ESCALA DE COLOR verde - amarillo - rojo (verde = pocas incidencias).</t>
        </is>
      </c>
    </row>
    <row r="10">
      <c r="A10" s="10" t="inlineStr">
        <is>
          <t>TAREA 6: Valoración → aplica un CONJUNTO DE ICONOS (por ejemplo, semáforos o flechas).</t>
        </is>
      </c>
    </row>
    <row r="12" ht="32" customHeight="1">
      <c r="A12" s="6" t="inlineStr">
        <is>
          <t>Trabajador</t>
        </is>
      </c>
      <c r="B12" s="6" t="inlineStr">
        <is>
          <t>Turno</t>
        </is>
      </c>
      <c r="C12" s="6" t="inlineStr">
        <is>
          <t>Horas semana</t>
        </is>
      </c>
      <c r="D12" s="6" t="inlineStr">
        <is>
          <t>Contenedores</t>
        </is>
      </c>
      <c r="E12" s="6" t="inlineStr">
        <is>
          <t>Incidencias</t>
        </is>
      </c>
      <c r="F12" s="6" t="inlineStr">
        <is>
          <t>Valoración (1-5)</t>
        </is>
      </c>
    </row>
    <row r="13">
      <c r="A13" s="7" t="inlineStr">
        <is>
          <t>Joan García</t>
        </is>
      </c>
      <c r="B13" s="7" t="inlineStr">
        <is>
          <t>Mañana</t>
        </is>
      </c>
      <c r="C13" s="7" t="n">
        <v>38</v>
      </c>
      <c r="D13" s="7" t="n">
        <v>142</v>
      </c>
      <c r="E13" s="7" t="n">
        <v>0</v>
      </c>
      <c r="F13" s="7" t="n">
        <v>4</v>
      </c>
    </row>
    <row r="14">
      <c r="A14" s="7" t="inlineStr">
        <is>
          <t>Marc Martí</t>
        </is>
      </c>
      <c r="B14" s="7" t="inlineStr">
        <is>
          <t>Noche</t>
        </is>
      </c>
      <c r="C14" s="7" t="n">
        <v>46</v>
      </c>
      <c r="D14" s="7" t="n">
        <v>95</v>
      </c>
      <c r="E14" s="7" t="n">
        <v>3</v>
      </c>
      <c r="F14" s="7" t="n">
        <v>2</v>
      </c>
    </row>
    <row r="15">
      <c r="A15" s="7" t="inlineStr">
        <is>
          <t>Sergi Vidal</t>
        </is>
      </c>
      <c r="B15" s="7" t="inlineStr">
        <is>
          <t>Tarde</t>
        </is>
      </c>
      <c r="C15" s="7" t="n">
        <v>40</v>
      </c>
      <c r="D15" s="7" t="n">
        <v>168</v>
      </c>
      <c r="E15" s="7" t="n">
        <v>1</v>
      </c>
      <c r="F15" s="7" t="n">
        <v>5</v>
      </c>
    </row>
    <row r="16">
      <c r="A16" s="7" t="inlineStr">
        <is>
          <t>Pere Ferrer</t>
        </is>
      </c>
      <c r="B16" s="7" t="inlineStr">
        <is>
          <t>Noche</t>
        </is>
      </c>
      <c r="C16" s="7" t="n">
        <v>44</v>
      </c>
      <c r="D16" s="7" t="n">
        <v>121</v>
      </c>
      <c r="E16" s="7" t="n">
        <v>2</v>
      </c>
      <c r="F16" s="7" t="n">
        <v>3</v>
      </c>
    </row>
    <row r="17">
      <c r="A17" s="7" t="inlineStr">
        <is>
          <t>David Roca</t>
        </is>
      </c>
      <c r="B17" s="7" t="inlineStr">
        <is>
          <t>Mañana</t>
        </is>
      </c>
      <c r="C17" s="7" t="n">
        <v>36</v>
      </c>
      <c r="D17" s="7" t="n">
        <v>187</v>
      </c>
      <c r="E17" s="7" t="n">
        <v>0</v>
      </c>
      <c r="F17" s="7" t="n">
        <v>5</v>
      </c>
    </row>
    <row r="18">
      <c r="A18" s="7" t="inlineStr">
        <is>
          <t>Xavier Puig</t>
        </is>
      </c>
      <c r="B18" s="7" t="inlineStr">
        <is>
          <t>Tarde</t>
        </is>
      </c>
      <c r="C18" s="7" t="n">
        <v>42</v>
      </c>
      <c r="D18" s="7" t="n">
        <v>110</v>
      </c>
      <c r="E18" s="7" t="n">
        <v>4</v>
      </c>
      <c r="F18" s="7" t="n">
        <v>2</v>
      </c>
    </row>
    <row r="19">
      <c r="A19" s="7" t="inlineStr">
        <is>
          <t>Albert Soler</t>
        </is>
      </c>
      <c r="B19" s="7" t="inlineStr">
        <is>
          <t>Mañana</t>
        </is>
      </c>
      <c r="C19" s="7" t="n">
        <v>40</v>
      </c>
      <c r="D19" s="7" t="n">
        <v>76</v>
      </c>
      <c r="E19" s="7" t="n">
        <v>5</v>
      </c>
      <c r="F19" s="7" t="n">
        <v>1</v>
      </c>
    </row>
    <row r="20">
      <c r="A20" s="7" t="inlineStr">
        <is>
          <t>Toni Ribas</t>
        </is>
      </c>
      <c r="B20" s="7" t="inlineStr">
        <is>
          <t>Noche</t>
        </is>
      </c>
      <c r="C20" s="7" t="n">
        <v>48</v>
      </c>
      <c r="D20" s="7" t="n">
        <v>133</v>
      </c>
      <c r="E20" s="7" t="n">
        <v>1</v>
      </c>
      <c r="F20" s="7" t="n">
        <v>4</v>
      </c>
    </row>
    <row r="21">
      <c r="A21" s="7" t="inlineStr">
        <is>
          <t>Jordi Pons</t>
        </is>
      </c>
      <c r="B21" s="7" t="inlineStr">
        <is>
          <t>Tarde</t>
        </is>
      </c>
      <c r="C21" s="7" t="n">
        <v>38</v>
      </c>
      <c r="D21" s="7" t="n">
        <v>159</v>
      </c>
      <c r="E21" s="7" t="n">
        <v>0</v>
      </c>
      <c r="F21" s="7" t="n">
        <v>4</v>
      </c>
    </row>
    <row r="22">
      <c r="A22" s="7" t="inlineStr">
        <is>
          <t>Carles Torres</t>
        </is>
      </c>
      <c r="B22" s="7" t="inlineStr">
        <is>
          <t>Mañana</t>
        </is>
      </c>
      <c r="C22" s="7" t="n">
        <v>45</v>
      </c>
      <c r="D22" s="7" t="n">
        <v>102</v>
      </c>
      <c r="E22" s="7" t="n">
        <v>2</v>
      </c>
      <c r="F22" s="7" t="n">
        <v>3</v>
      </c>
    </row>
    <row r="23">
      <c r="A23" s="7" t="inlineStr">
        <is>
          <t>Raül Mas</t>
        </is>
      </c>
      <c r="B23" s="7" t="inlineStr">
        <is>
          <t>Noche</t>
        </is>
      </c>
      <c r="C23" s="7" t="n">
        <v>40</v>
      </c>
      <c r="D23" s="7" t="n">
        <v>88</v>
      </c>
      <c r="E23" s="7" t="n">
        <v>3</v>
      </c>
      <c r="F23" s="7" t="n">
        <v>2</v>
      </c>
    </row>
    <row r="24">
      <c r="A24" s="7" t="inlineStr">
        <is>
          <t>Manel Bosch</t>
        </is>
      </c>
      <c r="B24" s="7" t="inlineStr">
        <is>
          <t>Tarde</t>
        </is>
      </c>
      <c r="C24" s="7" t="n">
        <v>41</v>
      </c>
      <c r="D24" s="7" t="n">
        <v>176</v>
      </c>
      <c r="E24" s="7" t="n">
        <v>1</v>
      </c>
      <c r="F24" s="7" t="n">
        <v>5</v>
      </c>
    </row>
  </sheetData>
  <mergeCells count="9">
    <mergeCell ref="A5:J5"/>
    <mergeCell ref="A8:J8"/>
    <mergeCell ref="A6:J6"/>
    <mergeCell ref="A9:J9"/>
    <mergeCell ref="A3:J3"/>
    <mergeCell ref="A4:J4"/>
    <mergeCell ref="A7:J7"/>
    <mergeCell ref="A2:J2"/>
    <mergeCell ref="A10:J10"/>
  </mergeCells>
  <conditionalFormatting sqref="C13:C24">
    <cfRule type="cellIs" priority="1" operator="greaterThan" dxfId="0">
      <formula>40</formula>
    </cfRule>
  </conditionalFormatting>
  <conditionalFormatting sqref="B13:B24">
    <cfRule type="containsText" priority="2" operator="containsText" dxfId="1" text="Noche">
      <formula>NOT(ISERROR(SEARCH("Noche",B13)))</formula>
    </cfRule>
  </conditionalFormatting>
  <conditionalFormatting sqref="D13:D24">
    <cfRule type="top10" rank="3" priority="3" dxfId="2"/>
    <cfRule type="dataBar" priority="4">
      <dataBar>
        <cfvo type="min"/>
        <cfvo type="max"/>
        <color rgb="005B9BD5"/>
      </dataBar>
    </cfRule>
  </conditionalFormatting>
  <conditionalFormatting sqref="E13:E2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13:F24">
    <cfRule type="iconSet" priority="6">
      <iconSet iconSet="3TrafficLights1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</cols>
  <sheetData>
    <row r="1">
      <c r="A1" s="1" t="inlineStr">
        <is>
          <t>EJERCICIO 4 · Funciones con Autosuma  (1,5 puntos)</t>
        </is>
      </c>
    </row>
    <row r="2">
      <c r="A2" s="2" t="inlineStr">
        <is>
          <t>La tabla muestra los contenedores que ha movido cada estibador esta semana. Las celdas VACÍAS son días libres.</t>
        </is>
      </c>
    </row>
    <row r="3">
      <c r="A3" s="2" t="inlineStr">
        <is>
          <t>Cada tarea vale 0,25 puntos. Haz la fórmula en la primera fila y cópiala hacia abajo o hacia la derecha arrastrando.</t>
        </is>
      </c>
    </row>
    <row r="4">
      <c r="A4" s="2" t="inlineStr">
        <is>
          <t>Recuerda: Inicio &gt; Autosuma (Σ) y su flecha: Suma, Promedio, Contar números, Máx y Mín. ¡Comprueba que el rango seleccionado es correcto!</t>
        </is>
      </c>
    </row>
    <row r="5">
      <c r="A5" s="10" t="inlineStr">
        <is>
          <t>TAREA 1: Columna TOTAL → SUMA de los 6 días de cada trabajador.</t>
        </is>
      </c>
    </row>
    <row r="6">
      <c r="A6" s="10" t="inlineStr">
        <is>
          <t>TAREA 2: Columna PROMEDIO → PROMEDIO de cada trabajador (los días libres NO cuentan). Déjalo con 1 decimal.</t>
        </is>
      </c>
    </row>
    <row r="7">
      <c r="A7" s="10" t="inlineStr">
        <is>
          <t>TAREA 3: Columna DÍAS TRABAJADOS → CONTAR NÚMEROS de los 6 días de cada trabajador.</t>
        </is>
      </c>
    </row>
    <row r="8">
      <c r="A8" s="10" t="inlineStr">
        <is>
          <t>TAREA 4: Columnas MÁXIMO y MÍNIMO → el mejor y el peor día de cada trabajador.</t>
        </is>
      </c>
    </row>
    <row r="9">
      <c r="A9" s="10" t="inlineStr">
        <is>
          <t>TAREA 5: Fila TOTAL DÍA → SUMA de cada día (de lunes a sábado).</t>
        </is>
      </c>
    </row>
    <row r="10">
      <c r="A10" s="10" t="inlineStr">
        <is>
          <t>TAREA 6: En la celda amarilla 'Total semana' calcula el total con una sola SUMA y ponla en negrita con borde grueso.</t>
        </is>
      </c>
    </row>
    <row r="12" ht="45" customHeight="1">
      <c r="A12" s="6" t="inlineStr">
        <is>
          <t>Trabajador</t>
        </is>
      </c>
      <c r="B12" s="6" t="inlineStr">
        <is>
          <t>Lunes</t>
        </is>
      </c>
      <c r="C12" s="6" t="inlineStr">
        <is>
          <t>Martes</t>
        </is>
      </c>
      <c r="D12" s="6" t="inlineStr">
        <is>
          <t>Miércoles</t>
        </is>
      </c>
      <c r="E12" s="6" t="inlineStr">
        <is>
          <t>Jueves</t>
        </is>
      </c>
      <c r="F12" s="6" t="inlineStr">
        <is>
          <t>Viernes</t>
        </is>
      </c>
      <c r="G12" s="6" t="inlineStr">
        <is>
          <t>Sábado</t>
        </is>
      </c>
      <c r="H12" s="6" t="inlineStr">
        <is>
          <t>TOTAL</t>
        </is>
      </c>
      <c r="I12" s="6" t="inlineStr">
        <is>
          <t>PROMEDIO</t>
        </is>
      </c>
      <c r="J12" s="6" t="inlineStr">
        <is>
          <t>DÍAS TRABAJADOS</t>
        </is>
      </c>
      <c r="K12" s="6" t="inlineStr">
        <is>
          <t>MÁXIMO</t>
        </is>
      </c>
      <c r="L12" s="6" t="inlineStr">
        <is>
          <t>MÍNIMO</t>
        </is>
      </c>
    </row>
    <row r="13">
      <c r="A13" s="7" t="inlineStr">
        <is>
          <t>Joan García</t>
        </is>
      </c>
      <c r="B13" s="7" t="n">
        <v>42</v>
      </c>
      <c r="C13" s="7" t="n">
        <v>38</v>
      </c>
      <c r="D13" s="7" t="n"/>
      <c r="E13" s="7" t="n">
        <v>51</v>
      </c>
      <c r="F13" s="7" t="n">
        <v>47</v>
      </c>
      <c r="G13" s="7" t="n">
        <v>33</v>
      </c>
      <c r="H13" s="4">
        <f>SUM(B13:G13)</f>
        <v/>
      </c>
      <c r="I13" s="34">
        <f>AVERAGE(B13:G13)</f>
        <v/>
      </c>
      <c r="J13" s="4">
        <f>COUNT(B13:G13)</f>
        <v/>
      </c>
      <c r="K13" s="4">
        <f>MAX(B13:G13)</f>
        <v/>
      </c>
      <c r="L13" s="4">
        <f>MIN(B13:G13)</f>
        <v/>
      </c>
    </row>
    <row r="14">
      <c r="A14" s="7" t="inlineStr">
        <is>
          <t>Marc Martí</t>
        </is>
      </c>
      <c r="B14" s="7" t="n">
        <v>35</v>
      </c>
      <c r="C14" s="7" t="n"/>
      <c r="D14" s="7" t="n">
        <v>44</v>
      </c>
      <c r="E14" s="7" t="n">
        <v>39</v>
      </c>
      <c r="F14" s="7" t="n">
        <v>41</v>
      </c>
      <c r="G14" s="7" t="n"/>
      <c r="H14" s="4">
        <f>SUM(B14:G14)</f>
        <v/>
      </c>
      <c r="I14" s="34">
        <f>AVERAGE(B14:G14)</f>
        <v/>
      </c>
      <c r="J14" s="4">
        <f>COUNT(B14:G14)</f>
        <v/>
      </c>
      <c r="K14" s="4">
        <f>MAX(B14:G14)</f>
        <v/>
      </c>
      <c r="L14" s="4">
        <f>MIN(B14:G14)</f>
        <v/>
      </c>
    </row>
    <row r="15">
      <c r="A15" s="7" t="inlineStr">
        <is>
          <t>Sergi Vidal</t>
        </is>
      </c>
      <c r="B15" s="7" t="n">
        <v>48</v>
      </c>
      <c r="C15" s="7" t="n">
        <v>52</v>
      </c>
      <c r="D15" s="7" t="n">
        <v>46</v>
      </c>
      <c r="E15" s="7" t="n">
        <v>50</v>
      </c>
      <c r="F15" s="7" t="n"/>
      <c r="G15" s="7" t="n">
        <v>44</v>
      </c>
      <c r="H15" s="4">
        <f>SUM(B15:G15)</f>
        <v/>
      </c>
      <c r="I15" s="34">
        <f>AVERAGE(B15:G15)</f>
        <v/>
      </c>
      <c r="J15" s="4">
        <f>COUNT(B15:G15)</f>
        <v/>
      </c>
      <c r="K15" s="4">
        <f>MAX(B15:G15)</f>
        <v/>
      </c>
      <c r="L15" s="4">
        <f>MIN(B15:G15)</f>
        <v/>
      </c>
    </row>
    <row r="16">
      <c r="A16" s="7" t="inlineStr">
        <is>
          <t>Pere Ferrer</t>
        </is>
      </c>
      <c r="B16" s="7" t="n"/>
      <c r="C16" s="7" t="n">
        <v>31</v>
      </c>
      <c r="D16" s="7" t="n">
        <v>36</v>
      </c>
      <c r="E16" s="7" t="n">
        <v>29</v>
      </c>
      <c r="F16" s="7" t="n">
        <v>40</v>
      </c>
      <c r="G16" s="7" t="n">
        <v>37</v>
      </c>
      <c r="H16" s="4">
        <f>SUM(B16:G16)</f>
        <v/>
      </c>
      <c r="I16" s="34">
        <f>AVERAGE(B16:G16)</f>
        <v/>
      </c>
      <c r="J16" s="4">
        <f>COUNT(B16:G16)</f>
        <v/>
      </c>
      <c r="K16" s="4">
        <f>MAX(B16:G16)</f>
        <v/>
      </c>
      <c r="L16" s="4">
        <f>MIN(B16:G16)</f>
        <v/>
      </c>
    </row>
    <row r="17">
      <c r="A17" s="7" t="inlineStr">
        <is>
          <t>David Roca</t>
        </is>
      </c>
      <c r="B17" s="7" t="n">
        <v>55</v>
      </c>
      <c r="C17" s="7" t="n">
        <v>49</v>
      </c>
      <c r="D17" s="7" t="n">
        <v>58</v>
      </c>
      <c r="E17" s="7" t="n"/>
      <c r="F17" s="7" t="n">
        <v>52</v>
      </c>
      <c r="G17" s="7" t="n">
        <v>46</v>
      </c>
      <c r="H17" s="4">
        <f>SUM(B17:G17)</f>
        <v/>
      </c>
      <c r="I17" s="34">
        <f>AVERAGE(B17:G17)</f>
        <v/>
      </c>
      <c r="J17" s="4">
        <f>COUNT(B17:G17)</f>
        <v/>
      </c>
      <c r="K17" s="4">
        <f>MAX(B17:G17)</f>
        <v/>
      </c>
      <c r="L17" s="4">
        <f>MIN(B17:G17)</f>
        <v/>
      </c>
    </row>
    <row r="18">
      <c r="A18" s="7" t="inlineStr">
        <is>
          <t>Xavier Puig</t>
        </is>
      </c>
      <c r="B18" s="7" t="n">
        <v>30</v>
      </c>
      <c r="C18" s="7" t="n">
        <v>34</v>
      </c>
      <c r="D18" s="7" t="n">
        <v>28</v>
      </c>
      <c r="E18" s="7" t="n">
        <v>33</v>
      </c>
      <c r="F18" s="7" t="n">
        <v>36</v>
      </c>
      <c r="G18" s="7" t="n"/>
      <c r="H18" s="4">
        <f>SUM(B18:G18)</f>
        <v/>
      </c>
      <c r="I18" s="34">
        <f>AVERAGE(B18:G18)</f>
        <v/>
      </c>
      <c r="J18" s="4">
        <f>COUNT(B18:G18)</f>
        <v/>
      </c>
      <c r="K18" s="4">
        <f>MAX(B18:G18)</f>
        <v/>
      </c>
      <c r="L18" s="4">
        <f>MIN(B18:G18)</f>
        <v/>
      </c>
    </row>
    <row r="19">
      <c r="A19" s="7" t="inlineStr">
        <is>
          <t>Albert Soler</t>
        </is>
      </c>
      <c r="B19" s="7" t="n">
        <v>44</v>
      </c>
      <c r="C19" s="7" t="n"/>
      <c r="D19" s="7" t="n">
        <v>41</v>
      </c>
      <c r="E19" s="7" t="n">
        <v>45</v>
      </c>
      <c r="F19" s="7" t="n">
        <v>39</v>
      </c>
      <c r="G19" s="7" t="n">
        <v>42</v>
      </c>
      <c r="H19" s="4">
        <f>SUM(B19:G19)</f>
        <v/>
      </c>
      <c r="I19" s="34">
        <f>AVERAGE(B19:G19)</f>
        <v/>
      </c>
      <c r="J19" s="4">
        <f>COUNT(B19:G19)</f>
        <v/>
      </c>
      <c r="K19" s="4">
        <f>MAX(B19:G19)</f>
        <v/>
      </c>
      <c r="L19" s="4">
        <f>MIN(B19:G19)</f>
        <v/>
      </c>
    </row>
    <row r="20">
      <c r="A20" s="7" t="inlineStr">
        <is>
          <t>Toni Ribas</t>
        </is>
      </c>
      <c r="B20" s="7" t="n">
        <v>39</v>
      </c>
      <c r="C20" s="7" t="n">
        <v>43</v>
      </c>
      <c r="D20" s="7" t="n">
        <v>37</v>
      </c>
      <c r="E20" s="7" t="n">
        <v>41</v>
      </c>
      <c r="F20" s="7" t="n"/>
      <c r="G20" s="7" t="n">
        <v>35</v>
      </c>
      <c r="H20" s="4">
        <f>SUM(B20:G20)</f>
        <v/>
      </c>
      <c r="I20" s="34">
        <f>AVERAGE(B20:G20)</f>
        <v/>
      </c>
      <c r="J20" s="4">
        <f>COUNT(B20:G20)</f>
        <v/>
      </c>
      <c r="K20" s="4">
        <f>MAX(B20:G20)</f>
        <v/>
      </c>
      <c r="L20" s="4">
        <f>MIN(B20:G20)</f>
        <v/>
      </c>
    </row>
    <row r="21">
      <c r="A21" s="8" t="inlineStr">
        <is>
          <t>TOTAL DÍA</t>
        </is>
      </c>
      <c r="B21" s="4">
        <f>SUM(B13:B20)</f>
        <v/>
      </c>
      <c r="C21" s="4">
        <f>SUM(C13:C20)</f>
        <v/>
      </c>
      <c r="D21" s="4">
        <f>SUM(D13:D20)</f>
        <v/>
      </c>
      <c r="E21" s="4">
        <f>SUM(E13:E20)</f>
        <v/>
      </c>
      <c r="F21" s="4">
        <f>SUM(F13:F20)</f>
        <v/>
      </c>
      <c r="G21" s="4">
        <f>SUM(G13:G20)</f>
        <v/>
      </c>
    </row>
    <row r="23">
      <c r="A23" s="3" t="inlineStr">
        <is>
          <t>Total semana:</t>
        </is>
      </c>
      <c r="B23" s="35">
        <f>SUM(B13:G20)</f>
        <v/>
      </c>
    </row>
  </sheetData>
  <mergeCells count="9">
    <mergeCell ref="A5:M5"/>
    <mergeCell ref="A8:M8"/>
    <mergeCell ref="A6:M6"/>
    <mergeCell ref="A9:M9"/>
    <mergeCell ref="A4:M4"/>
    <mergeCell ref="A3:M3"/>
    <mergeCell ref="A7:M7"/>
    <mergeCell ref="A2:M2"/>
    <mergeCell ref="A10:M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4" customWidth="1" min="4" max="4"/>
    <col width="15" customWidth="1" min="5" max="5"/>
    <col width="16" customWidth="1" min="6" max="6"/>
  </cols>
  <sheetData>
    <row r="1">
      <c r="A1" s="1" t="inlineStr">
        <is>
          <t>EJERCICIO 5 · Función SI  (1 punto)</t>
        </is>
      </c>
    </row>
    <row r="2">
      <c r="A2" s="2" t="inlineStr">
        <is>
          <t>La función SI escribe una cosa u otra según se cumpla o no una condición. Cada tarea vale 0,5 puntos.</t>
        </is>
      </c>
    </row>
    <row r="3">
      <c r="A3" s="2" t="inlineStr">
        <is>
          <t xml:space="preserve">   Estructura:   =SI( condición ; lo que pone si SE CUMPLE ; lo que pone si NO se cumple )</t>
        </is>
      </c>
    </row>
    <row r="4">
      <c r="A4" s="2" t="inlineStr">
        <is>
          <t xml:space="preserve">   Ejemplo:      =SI(C5&gt;40;"SÍ";"NO")   → si las horas de C5 son más de 40 escribe SÍ; si no, escribe NO.</t>
        </is>
      </c>
    </row>
    <row r="5">
      <c r="A5" s="2" t="inlineStr">
        <is>
          <t>Recuerda: el texto va entre comillas "  "; los números van sin comillas. Haz la primera fila y arrastra hacia abajo.</t>
        </is>
      </c>
    </row>
    <row r="6">
      <c r="A6" s="10" t="inlineStr">
        <is>
          <t>TAREA 1: Columna ¿HORAS EXTRA? → si las Horas semana son MAYORES que 40, que ponga "SÍ"; si no, "NO".</t>
        </is>
      </c>
    </row>
    <row r="7">
      <c r="A7" s="10" t="inlineStr">
        <is>
          <t>TAREA 2: Columna PLUS PRODUCTIVIDAD → si los Contenedores son 150 o MÁS (&gt;=150), que ponga 60; si no, 0.</t>
        </is>
      </c>
    </row>
    <row r="8">
      <c r="A8" s="2" t="inlineStr">
        <is>
          <t xml:space="preserve">              Después, dale a esa columna formato Moneda con 2 decimales (60,00 €).</t>
        </is>
      </c>
    </row>
    <row r="10" ht="32" customHeight="1">
      <c r="A10" s="6" t="inlineStr">
        <is>
          <t>Trabajador</t>
        </is>
      </c>
      <c r="B10" s="6" t="inlineStr">
        <is>
          <t>Turno</t>
        </is>
      </c>
      <c r="C10" s="6" t="inlineStr">
        <is>
          <t>Horas semana</t>
        </is>
      </c>
      <c r="D10" s="6" t="inlineStr">
        <is>
          <t>Contenedores</t>
        </is>
      </c>
      <c r="E10" s="6" t="inlineStr">
        <is>
          <t>¿HORAS EXTRA?</t>
        </is>
      </c>
      <c r="F10" s="6" t="inlineStr">
        <is>
          <t>PLUS PRODUCTIVIDAD</t>
        </is>
      </c>
    </row>
    <row r="11">
      <c r="A11" s="7" t="inlineStr">
        <is>
          <t>Joan García</t>
        </is>
      </c>
      <c r="B11" s="7" t="inlineStr">
        <is>
          <t>Mañana</t>
        </is>
      </c>
      <c r="C11" s="7" t="n">
        <v>38</v>
      </c>
      <c r="D11" s="7" t="n">
        <v>142</v>
      </c>
      <c r="E11" s="36">
        <f>IF(C11&gt;40,"SÍ","NO")</f>
        <v/>
      </c>
      <c r="F11" s="30">
        <f>IF(D11&gt;=150,60,0)</f>
        <v/>
      </c>
    </row>
    <row r="12">
      <c r="A12" s="7" t="inlineStr">
        <is>
          <t>Marc Martí</t>
        </is>
      </c>
      <c r="B12" s="7" t="inlineStr">
        <is>
          <t>Noche</t>
        </is>
      </c>
      <c r="C12" s="7" t="n">
        <v>46</v>
      </c>
      <c r="D12" s="7" t="n">
        <v>95</v>
      </c>
      <c r="E12" s="36">
        <f>IF(C12&gt;40,"SÍ","NO")</f>
        <v/>
      </c>
      <c r="F12" s="30">
        <f>IF(D12&gt;=150,60,0)</f>
        <v/>
      </c>
    </row>
    <row r="13">
      <c r="A13" s="7" t="inlineStr">
        <is>
          <t>Sergi Vidal</t>
        </is>
      </c>
      <c r="B13" s="7" t="inlineStr">
        <is>
          <t>Tarde</t>
        </is>
      </c>
      <c r="C13" s="7" t="n">
        <v>40</v>
      </c>
      <c r="D13" s="7" t="n">
        <v>168</v>
      </c>
      <c r="E13" s="36">
        <f>IF(C13&gt;40,"SÍ","NO")</f>
        <v/>
      </c>
      <c r="F13" s="30">
        <f>IF(D13&gt;=150,60,0)</f>
        <v/>
      </c>
    </row>
    <row r="14">
      <c r="A14" s="7" t="inlineStr">
        <is>
          <t>Pere Ferrer</t>
        </is>
      </c>
      <c r="B14" s="7" t="inlineStr">
        <is>
          <t>Noche</t>
        </is>
      </c>
      <c r="C14" s="7" t="n">
        <v>44</v>
      </c>
      <c r="D14" s="7" t="n">
        <v>121</v>
      </c>
      <c r="E14" s="36">
        <f>IF(C14&gt;40,"SÍ","NO")</f>
        <v/>
      </c>
      <c r="F14" s="30">
        <f>IF(D14&gt;=150,60,0)</f>
        <v/>
      </c>
    </row>
    <row r="15">
      <c r="A15" s="7" t="inlineStr">
        <is>
          <t>David Roca</t>
        </is>
      </c>
      <c r="B15" s="7" t="inlineStr">
        <is>
          <t>Mañana</t>
        </is>
      </c>
      <c r="C15" s="7" t="n">
        <v>36</v>
      </c>
      <c r="D15" s="7" t="n">
        <v>187</v>
      </c>
      <c r="E15" s="36">
        <f>IF(C15&gt;40,"SÍ","NO")</f>
        <v/>
      </c>
      <c r="F15" s="30">
        <f>IF(D15&gt;=150,60,0)</f>
        <v/>
      </c>
    </row>
    <row r="16">
      <c r="A16" s="7" t="inlineStr">
        <is>
          <t>Xavier Puig</t>
        </is>
      </c>
      <c r="B16" s="7" t="inlineStr">
        <is>
          <t>Tarde</t>
        </is>
      </c>
      <c r="C16" s="7" t="n">
        <v>42</v>
      </c>
      <c r="D16" s="7" t="n">
        <v>150</v>
      </c>
      <c r="E16" s="36">
        <f>IF(C16&gt;40,"SÍ","NO")</f>
        <v/>
      </c>
      <c r="F16" s="30">
        <f>IF(D16&gt;=150,60,0)</f>
        <v/>
      </c>
    </row>
    <row r="17">
      <c r="A17" s="7" t="inlineStr">
        <is>
          <t>Albert Soler</t>
        </is>
      </c>
      <c r="B17" s="7" t="inlineStr">
        <is>
          <t>Mañana</t>
        </is>
      </c>
      <c r="C17" s="7" t="n">
        <v>41</v>
      </c>
      <c r="D17" s="7" t="n">
        <v>76</v>
      </c>
      <c r="E17" s="36">
        <f>IF(C17&gt;40,"SÍ","NO")</f>
        <v/>
      </c>
      <c r="F17" s="30">
        <f>IF(D17&gt;=150,60,0)</f>
        <v/>
      </c>
    </row>
    <row r="18">
      <c r="A18" s="7" t="inlineStr">
        <is>
          <t>Toni Ribas</t>
        </is>
      </c>
      <c r="B18" s="7" t="inlineStr">
        <is>
          <t>Noche</t>
        </is>
      </c>
      <c r="C18" s="7" t="n">
        <v>48</v>
      </c>
      <c r="D18" s="7" t="n">
        <v>133</v>
      </c>
      <c r="E18" s="36">
        <f>IF(C18&gt;40,"SÍ","NO")</f>
        <v/>
      </c>
      <c r="F18" s="30">
        <f>IF(D18&gt;=150,60,0)</f>
        <v/>
      </c>
    </row>
  </sheetData>
  <mergeCells count="7">
    <mergeCell ref="A5:J5"/>
    <mergeCell ref="A8:J8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9" customWidth="1" min="5" max="5"/>
    <col width="14" customWidth="1" min="6" max="6"/>
    <col width="11" customWidth="1" min="7" max="7"/>
    <col width="55" customWidth="1" min="9" max="9"/>
    <col width="12" customWidth="1" min="10" max="10"/>
  </cols>
  <sheetData>
    <row r="1">
      <c r="A1" s="1" t="inlineStr">
        <is>
          <t>EJERCICIO 6 · Ordenar y filtrar  (1 punto)</t>
        </is>
      </c>
    </row>
    <row r="2">
      <c r="A2" s="2" t="inlineStr">
        <is>
          <t>Este es el registro de operaciones de septiembre. Usa los filtros para responder a las preguntas de la derecha.</t>
        </is>
      </c>
    </row>
    <row r="3">
      <c r="A3" s="2" t="inlineStr">
        <is>
          <t>Cada pregunta vale 0,2 puntos y la tarea final 0,2 puntos.</t>
        </is>
      </c>
    </row>
    <row r="4">
      <c r="A4" s="2" t="inlineStr">
        <is>
          <t>Recuerda: clic en una celda de la tabla → Datos &gt; Filtro. Abajo, en la barra de estado, verás cuántos registros quedan. Quita el filtro (Borrar) antes de la siguiente pregunta.</t>
        </is>
      </c>
    </row>
    <row r="5">
      <c r="A5" s="10" t="inlineStr">
        <is>
          <t>TAREA FINAL: Ordena la tabla por Terminal (de la A a la Z) y, dentro de cada terminal, por Contenedores de MAYOR a MENOR.</t>
        </is>
      </c>
    </row>
    <row r="6">
      <c r="A6" s="2" t="inlineStr">
        <is>
          <t xml:space="preserve">                      (Datos &gt; Ordenar &gt; Agregar nivel). Deja el filtro activado.</t>
        </is>
      </c>
    </row>
    <row r="8" ht="32" customHeight="1">
      <c r="A8" s="6" t="inlineStr">
        <is>
          <t>Fecha</t>
        </is>
      </c>
      <c r="B8" s="6" t="inlineStr">
        <is>
          <t>Buque</t>
        </is>
      </c>
      <c r="C8" s="6" t="inlineStr">
        <is>
          <t>Terminal</t>
        </is>
      </c>
      <c r="D8" s="6" t="inlineStr">
        <is>
          <t>Tipo de carga</t>
        </is>
      </c>
      <c r="E8" s="6" t="inlineStr">
        <is>
          <t>Turno</t>
        </is>
      </c>
      <c r="F8" s="6" t="inlineStr">
        <is>
          <t>Contenedores</t>
        </is>
      </c>
      <c r="G8" s="6" t="inlineStr">
        <is>
          <t>Horas operación</t>
        </is>
      </c>
      <c r="I8" s="37" t="inlineStr">
        <is>
          <t>PREGUNTAS</t>
        </is>
      </c>
      <c r="J8" s="37" t="inlineStr">
        <is>
          <t>RESPUESTA</t>
        </is>
      </c>
    </row>
    <row r="9" ht="30" customHeight="1">
      <c r="A9" s="38" t="n">
        <v>46271</v>
      </c>
      <c r="B9" s="7" t="inlineStr">
        <is>
          <t>MSC Levante</t>
        </is>
      </c>
      <c r="C9" s="7" t="inlineStr">
        <is>
          <t>Moll d'Andalusia</t>
        </is>
      </c>
      <c r="D9" s="7" t="inlineStr">
        <is>
          <t>Ro-Ro</t>
        </is>
      </c>
      <c r="E9" s="7" t="inlineStr">
        <is>
          <t>Tarde</t>
        </is>
      </c>
      <c r="F9" s="7" t="n">
        <v>391</v>
      </c>
      <c r="G9" s="7" t="n">
        <v>10</v>
      </c>
      <c r="I9" s="39" t="inlineStr">
        <is>
          <t>¿Cuántas operaciones son de tipo Ro-Ro?</t>
        </is>
      </c>
      <c r="J9" s="4" t="n">
        <v>5</v>
      </c>
    </row>
    <row r="10" ht="30" customHeight="1">
      <c r="A10" s="38" t="n">
        <v>46268</v>
      </c>
      <c r="B10" s="7" t="inlineStr">
        <is>
          <t>ONE Mare</t>
        </is>
      </c>
      <c r="C10" s="7" t="inlineStr">
        <is>
          <t>Moll d'Andalusia</t>
        </is>
      </c>
      <c r="D10" s="7" t="inlineStr">
        <is>
          <t>Contenedores</t>
        </is>
      </c>
      <c r="E10" s="7" t="inlineStr">
        <is>
          <t>Tarde</t>
        </is>
      </c>
      <c r="F10" s="7" t="n">
        <v>377</v>
      </c>
      <c r="G10" s="7" t="n">
        <v>8</v>
      </c>
      <c r="I10" s="39" t="inlineStr">
        <is>
          <t>¿Cuántas operaciones ha hecho el turno de Tarde en el Moll d'Aragó?</t>
        </is>
      </c>
      <c r="J10" s="4" t="n">
        <v>2</v>
      </c>
    </row>
    <row r="11" ht="30" customHeight="1">
      <c r="A11" s="38" t="n">
        <v>46270</v>
      </c>
      <c r="B11" s="7" t="inlineStr">
        <is>
          <t>Evergreen Costa</t>
        </is>
      </c>
      <c r="C11" s="7" t="inlineStr">
        <is>
          <t>Moll d'Andalusia</t>
        </is>
      </c>
      <c r="D11" s="7" t="inlineStr">
        <is>
          <t>Contenedores</t>
        </is>
      </c>
      <c r="E11" s="7" t="inlineStr">
        <is>
          <t>Mañana</t>
        </is>
      </c>
      <c r="F11" s="7" t="n">
        <v>341</v>
      </c>
      <c r="G11" s="7" t="n">
        <v>6</v>
      </c>
      <c r="I11" s="39" t="inlineStr">
        <is>
          <t>¿Cuántas operaciones movieron ENTRE 200 y 300 contenedores? (Filtros de número &gt; Entre)</t>
        </is>
      </c>
      <c r="J11" s="4" t="n">
        <v>12</v>
      </c>
    </row>
    <row r="12" ht="30" customHeight="1">
      <c r="A12" s="38" t="n">
        <v>46277</v>
      </c>
      <c r="B12" s="7" t="inlineStr">
        <is>
          <t>CMA CGM Ebro</t>
        </is>
      </c>
      <c r="C12" s="7" t="inlineStr">
        <is>
          <t>Moll d'Andalusia</t>
        </is>
      </c>
      <c r="D12" s="7" t="inlineStr">
        <is>
          <t>Granel</t>
        </is>
      </c>
      <c r="E12" s="7" t="inlineStr">
        <is>
          <t>Noche</t>
        </is>
      </c>
      <c r="F12" s="7" t="n">
        <v>309</v>
      </c>
      <c r="G12" s="7" t="n">
        <v>6</v>
      </c>
      <c r="I12" s="39" t="inlineStr">
        <is>
          <t>¿Cuántos contenedores ha movido EN TOTAL el buque Hapag Delta? (mira la Suma en la barra de estado)</t>
        </is>
      </c>
      <c r="J12" s="4" t="n">
        <v>1047</v>
      </c>
    </row>
    <row r="13">
      <c r="A13" s="38" t="n">
        <v>46280</v>
      </c>
      <c r="B13" s="7" t="inlineStr">
        <is>
          <t>Hapag Delta</t>
        </is>
      </c>
      <c r="C13" s="7" t="inlineStr">
        <is>
          <t>Moll d'Andalusia</t>
        </is>
      </c>
      <c r="D13" s="7" t="inlineStr">
        <is>
          <t>Ro-Ro</t>
        </is>
      </c>
      <c r="E13" s="7" t="inlineStr">
        <is>
          <t>Tarde</t>
        </is>
      </c>
      <c r="F13" s="7" t="n">
        <v>302</v>
      </c>
      <c r="G13" s="7" t="n">
        <v>6</v>
      </c>
    </row>
    <row r="14">
      <c r="A14" s="38" t="n">
        <v>46269</v>
      </c>
      <c r="B14" s="7" t="inlineStr">
        <is>
          <t>Evergreen Costa</t>
        </is>
      </c>
      <c r="C14" s="7" t="inlineStr">
        <is>
          <t>Moll d'Andalusia</t>
        </is>
      </c>
      <c r="D14" s="7" t="inlineStr">
        <is>
          <t>Granel</t>
        </is>
      </c>
      <c r="E14" s="7" t="inlineStr">
        <is>
          <t>Mañana</t>
        </is>
      </c>
      <c r="F14" s="7" t="n">
        <v>83</v>
      </c>
      <c r="G14" s="7" t="n">
        <v>12</v>
      </c>
    </row>
    <row r="15">
      <c r="A15" s="38" t="n">
        <v>46290</v>
      </c>
      <c r="B15" s="7" t="inlineStr">
        <is>
          <t>Hapag Delta</t>
        </is>
      </c>
      <c r="C15" s="7" t="inlineStr">
        <is>
          <t>Moll d'Andalusia</t>
        </is>
      </c>
      <c r="D15" s="7" t="inlineStr">
        <is>
          <t>Granel</t>
        </is>
      </c>
      <c r="E15" s="7" t="inlineStr">
        <is>
          <t>Tarde</t>
        </is>
      </c>
      <c r="F15" s="7" t="n">
        <v>74</v>
      </c>
      <c r="G15" s="7" t="n">
        <v>12</v>
      </c>
    </row>
    <row r="16">
      <c r="A16" s="38" t="n">
        <v>46283</v>
      </c>
      <c r="B16" s="7" t="inlineStr">
        <is>
          <t>Maersk Tarragona</t>
        </is>
      </c>
      <c r="C16" s="7" t="inlineStr">
        <is>
          <t>Moll d'Aragó</t>
        </is>
      </c>
      <c r="D16" s="7" t="inlineStr">
        <is>
          <t>Contenedores</t>
        </is>
      </c>
      <c r="E16" s="7" t="inlineStr">
        <is>
          <t>Mañana</t>
        </is>
      </c>
      <c r="F16" s="7" t="n">
        <v>305</v>
      </c>
      <c r="G16" s="7" t="n">
        <v>10</v>
      </c>
    </row>
    <row r="17">
      <c r="A17" s="38" t="n">
        <v>46287</v>
      </c>
      <c r="B17" s="7" t="inlineStr">
        <is>
          <t>ONE Mare</t>
        </is>
      </c>
      <c r="C17" s="7" t="inlineStr">
        <is>
          <t>Moll d'Aragó</t>
        </is>
      </c>
      <c r="D17" s="7" t="inlineStr">
        <is>
          <t>Granel</t>
        </is>
      </c>
      <c r="E17" s="7" t="inlineStr">
        <is>
          <t>Tarde</t>
        </is>
      </c>
      <c r="F17" s="7" t="n">
        <v>285</v>
      </c>
      <c r="G17" s="7" t="n">
        <v>10</v>
      </c>
    </row>
    <row r="18">
      <c r="A18" s="38" t="n">
        <v>46273</v>
      </c>
      <c r="B18" s="7" t="inlineStr">
        <is>
          <t>MSC Aurora</t>
        </is>
      </c>
      <c r="C18" s="7" t="inlineStr">
        <is>
          <t>Moll d'Aragó</t>
        </is>
      </c>
      <c r="D18" s="7" t="inlineStr">
        <is>
          <t>Ro-Ro</t>
        </is>
      </c>
      <c r="E18" s="7" t="inlineStr">
        <is>
          <t>Tarde</t>
        </is>
      </c>
      <c r="F18" s="7" t="n">
        <v>204</v>
      </c>
      <c r="G18" s="7" t="n">
        <v>6</v>
      </c>
    </row>
    <row r="19">
      <c r="A19" s="38" t="n">
        <v>46286</v>
      </c>
      <c r="B19" s="7" t="inlineStr">
        <is>
          <t>Hapag Delta</t>
        </is>
      </c>
      <c r="C19" s="7" t="inlineStr">
        <is>
          <t>Moll d'Aragó</t>
        </is>
      </c>
      <c r="D19" s="7" t="inlineStr">
        <is>
          <t>Contenedores</t>
        </is>
      </c>
      <c r="E19" s="7" t="inlineStr">
        <is>
          <t>Noche</t>
        </is>
      </c>
      <c r="F19" s="7" t="n">
        <v>202</v>
      </c>
      <c r="G19" s="7" t="n">
        <v>6</v>
      </c>
    </row>
    <row r="20">
      <c r="A20" s="38" t="n">
        <v>46284</v>
      </c>
      <c r="B20" s="7" t="inlineStr">
        <is>
          <t>ONE Mare</t>
        </is>
      </c>
      <c r="C20" s="7" t="inlineStr">
        <is>
          <t>Moll d'Aragó</t>
        </is>
      </c>
      <c r="D20" s="7" t="inlineStr">
        <is>
          <t>Contenedores</t>
        </is>
      </c>
      <c r="E20" s="7" t="inlineStr">
        <is>
          <t>Mañana</t>
        </is>
      </c>
      <c r="F20" s="7" t="n">
        <v>103</v>
      </c>
      <c r="G20" s="7" t="n">
        <v>4</v>
      </c>
    </row>
    <row r="21">
      <c r="A21" s="38" t="n">
        <v>46266</v>
      </c>
      <c r="B21" s="7" t="inlineStr">
        <is>
          <t>MSC Levante</t>
        </is>
      </c>
      <c r="C21" s="7" t="inlineStr">
        <is>
          <t>Moll de Castella</t>
        </is>
      </c>
      <c r="D21" s="7" t="inlineStr">
        <is>
          <t>Granel</t>
        </is>
      </c>
      <c r="E21" s="7" t="inlineStr">
        <is>
          <t>Tarde</t>
        </is>
      </c>
      <c r="F21" s="7" t="n">
        <v>266</v>
      </c>
      <c r="G21" s="7" t="n">
        <v>6</v>
      </c>
    </row>
    <row r="22">
      <c r="A22" s="38" t="n">
        <v>46289</v>
      </c>
      <c r="B22" s="7" t="inlineStr">
        <is>
          <t>ONE Mare</t>
        </is>
      </c>
      <c r="C22" s="7" t="inlineStr">
        <is>
          <t>Moll de Castella</t>
        </is>
      </c>
      <c r="D22" s="7" t="inlineStr">
        <is>
          <t>Granel</t>
        </is>
      </c>
      <c r="E22" s="7" t="inlineStr">
        <is>
          <t>Mañana</t>
        </is>
      </c>
      <c r="F22" s="7" t="n">
        <v>249</v>
      </c>
      <c r="G22" s="7" t="n">
        <v>12</v>
      </c>
    </row>
    <row r="23">
      <c r="A23" s="38" t="n">
        <v>46294</v>
      </c>
      <c r="B23" s="7" t="inlineStr">
        <is>
          <t>Maersk Tarragona</t>
        </is>
      </c>
      <c r="C23" s="7" t="inlineStr">
        <is>
          <t>Moll de Castella</t>
        </is>
      </c>
      <c r="D23" s="7" t="inlineStr">
        <is>
          <t>Contenedores</t>
        </is>
      </c>
      <c r="E23" s="7" t="inlineStr">
        <is>
          <t>Noche</t>
        </is>
      </c>
      <c r="F23" s="7" t="n">
        <v>241</v>
      </c>
      <c r="G23" s="7" t="n">
        <v>4</v>
      </c>
    </row>
    <row r="24">
      <c r="A24" s="38" t="n">
        <v>46293</v>
      </c>
      <c r="B24" s="7" t="inlineStr">
        <is>
          <t>MSC Levante</t>
        </is>
      </c>
      <c r="C24" s="7" t="inlineStr">
        <is>
          <t>Moll de Castella</t>
        </is>
      </c>
      <c r="D24" s="7" t="inlineStr">
        <is>
          <t>Contenedores</t>
        </is>
      </c>
      <c r="E24" s="7" t="inlineStr">
        <is>
          <t>Tarde</t>
        </is>
      </c>
      <c r="F24" s="7" t="n">
        <v>148</v>
      </c>
      <c r="G24" s="7" t="n">
        <v>6</v>
      </c>
    </row>
    <row r="25">
      <c r="A25" s="38" t="n">
        <v>46275</v>
      </c>
      <c r="B25" s="7" t="inlineStr">
        <is>
          <t>Hapag Delta</t>
        </is>
      </c>
      <c r="C25" s="7" t="inlineStr">
        <is>
          <t>Moll de Castella</t>
        </is>
      </c>
      <c r="D25" s="7" t="inlineStr">
        <is>
          <t>Contenedores</t>
        </is>
      </c>
      <c r="E25" s="7" t="inlineStr">
        <is>
          <t>Mañana</t>
        </is>
      </c>
      <c r="F25" s="7" t="n">
        <v>123</v>
      </c>
      <c r="G25" s="7" t="n">
        <v>10</v>
      </c>
    </row>
    <row r="26">
      <c r="A26" s="38" t="n">
        <v>46295</v>
      </c>
      <c r="B26" s="7" t="inlineStr">
        <is>
          <t>MSC Levante</t>
        </is>
      </c>
      <c r="C26" s="7" t="inlineStr">
        <is>
          <t>Moll de Castella</t>
        </is>
      </c>
      <c r="D26" s="7" t="inlineStr">
        <is>
          <t>Contenedores</t>
        </is>
      </c>
      <c r="E26" s="7" t="inlineStr">
        <is>
          <t>Tarde</t>
        </is>
      </c>
      <c r="F26" s="7" t="n">
        <v>94</v>
      </c>
      <c r="G26" s="7" t="n">
        <v>10</v>
      </c>
    </row>
    <row r="27">
      <c r="A27" s="38" t="n">
        <v>46291</v>
      </c>
      <c r="B27" s="7" t="inlineStr">
        <is>
          <t>Evergreen Costa</t>
        </is>
      </c>
      <c r="C27" s="7" t="inlineStr">
        <is>
          <t>Moll de Catalunya</t>
        </is>
      </c>
      <c r="D27" s="7" t="inlineStr">
        <is>
          <t>Ro-Ro</t>
        </is>
      </c>
      <c r="E27" s="7" t="inlineStr">
        <is>
          <t>Noche</t>
        </is>
      </c>
      <c r="F27" s="7" t="n">
        <v>419</v>
      </c>
      <c r="G27" s="7" t="n">
        <v>12</v>
      </c>
    </row>
    <row r="28">
      <c r="A28" s="38" t="n">
        <v>46288</v>
      </c>
      <c r="B28" s="7" t="inlineStr">
        <is>
          <t>MSC Aurora</t>
        </is>
      </c>
      <c r="C28" s="7" t="inlineStr">
        <is>
          <t>Moll de Catalunya</t>
        </is>
      </c>
      <c r="D28" s="7" t="inlineStr">
        <is>
          <t>Granel</t>
        </is>
      </c>
      <c r="E28" s="7" t="inlineStr">
        <is>
          <t>Noche</t>
        </is>
      </c>
      <c r="F28" s="7" t="n">
        <v>414</v>
      </c>
      <c r="G28" s="7" t="n">
        <v>12</v>
      </c>
    </row>
    <row r="29">
      <c r="A29" s="38" t="n">
        <v>46274</v>
      </c>
      <c r="B29" s="7" t="inlineStr">
        <is>
          <t>Maersk Tarragona</t>
        </is>
      </c>
      <c r="C29" s="7" t="inlineStr">
        <is>
          <t>Moll de Catalunya</t>
        </is>
      </c>
      <c r="D29" s="7" t="inlineStr">
        <is>
          <t>Granel</t>
        </is>
      </c>
      <c r="E29" s="7" t="inlineStr">
        <is>
          <t>Mañana</t>
        </is>
      </c>
      <c r="F29" s="7" t="n">
        <v>411</v>
      </c>
      <c r="G29" s="7" t="n">
        <v>6</v>
      </c>
    </row>
    <row r="30">
      <c r="A30" s="38" t="n">
        <v>46282</v>
      </c>
      <c r="B30" s="7" t="inlineStr">
        <is>
          <t>CMA CGM Ebro</t>
        </is>
      </c>
      <c r="C30" s="7" t="inlineStr">
        <is>
          <t>Moll de Catalunya</t>
        </is>
      </c>
      <c r="D30" s="7" t="inlineStr">
        <is>
          <t>Granel</t>
        </is>
      </c>
      <c r="E30" s="7" t="inlineStr">
        <is>
          <t>Tarde</t>
        </is>
      </c>
      <c r="F30" s="7" t="n">
        <v>303</v>
      </c>
      <c r="G30" s="7" t="n">
        <v>8</v>
      </c>
    </row>
    <row r="31">
      <c r="A31" s="38" t="n">
        <v>46276</v>
      </c>
      <c r="B31" s="7" t="inlineStr">
        <is>
          <t>Maersk Tarragona</t>
        </is>
      </c>
      <c r="C31" s="7" t="inlineStr">
        <is>
          <t>Moll de Catalunya</t>
        </is>
      </c>
      <c r="D31" s="7" t="inlineStr">
        <is>
          <t>Ro-Ro</t>
        </is>
      </c>
      <c r="E31" s="7" t="inlineStr">
        <is>
          <t>Noche</t>
        </is>
      </c>
      <c r="F31" s="7" t="n">
        <v>272</v>
      </c>
      <c r="G31" s="7" t="n">
        <v>10</v>
      </c>
    </row>
    <row r="32">
      <c r="A32" s="38" t="n">
        <v>46292</v>
      </c>
      <c r="B32" s="7" t="inlineStr">
        <is>
          <t>Hapag Delta</t>
        </is>
      </c>
      <c r="C32" s="7" t="inlineStr">
        <is>
          <t>Moll de Catalunya</t>
        </is>
      </c>
      <c r="D32" s="7" t="inlineStr">
        <is>
          <t>Granel</t>
        </is>
      </c>
      <c r="E32" s="7" t="inlineStr">
        <is>
          <t>Noche</t>
        </is>
      </c>
      <c r="F32" s="7" t="n">
        <v>247</v>
      </c>
      <c r="G32" s="7" t="n">
        <v>10</v>
      </c>
    </row>
    <row r="33">
      <c r="A33" s="38" t="n">
        <v>46267</v>
      </c>
      <c r="B33" s="7" t="inlineStr">
        <is>
          <t>CMA CGM Ebro</t>
        </is>
      </c>
      <c r="C33" s="7" t="inlineStr">
        <is>
          <t>Moll de Catalunya</t>
        </is>
      </c>
      <c r="D33" s="7" t="inlineStr">
        <is>
          <t>Granel</t>
        </is>
      </c>
      <c r="E33" s="7" t="inlineStr">
        <is>
          <t>Noche</t>
        </is>
      </c>
      <c r="F33" s="7" t="n">
        <v>233</v>
      </c>
      <c r="G33" s="7" t="n">
        <v>10</v>
      </c>
    </row>
    <row r="34">
      <c r="A34" s="38" t="n">
        <v>46279</v>
      </c>
      <c r="B34" s="7" t="inlineStr">
        <is>
          <t>Evergreen Costa</t>
        </is>
      </c>
      <c r="C34" s="7" t="inlineStr">
        <is>
          <t>Moll de Catalunya</t>
        </is>
      </c>
      <c r="D34" s="7" t="inlineStr">
        <is>
          <t>Contenedores</t>
        </is>
      </c>
      <c r="E34" s="7" t="inlineStr">
        <is>
          <t>Noche</t>
        </is>
      </c>
      <c r="F34" s="7" t="n">
        <v>221</v>
      </c>
      <c r="G34" s="7" t="n">
        <v>6</v>
      </c>
    </row>
    <row r="35">
      <c r="A35" s="38" t="n">
        <v>46285</v>
      </c>
      <c r="B35" s="7" t="inlineStr">
        <is>
          <t>Grimaldi Roma</t>
        </is>
      </c>
      <c r="C35" s="7" t="inlineStr">
        <is>
          <t>Moll de Catalunya</t>
        </is>
      </c>
      <c r="D35" s="7" t="inlineStr">
        <is>
          <t>Granel</t>
        </is>
      </c>
      <c r="E35" s="7" t="inlineStr">
        <is>
          <t>Tarde</t>
        </is>
      </c>
      <c r="F35" s="7" t="n">
        <v>217</v>
      </c>
      <c r="G35" s="7" t="n">
        <v>6</v>
      </c>
    </row>
    <row r="36">
      <c r="A36" s="38" t="n">
        <v>46281</v>
      </c>
      <c r="B36" s="7" t="inlineStr">
        <is>
          <t>Evergreen Costa</t>
        </is>
      </c>
      <c r="C36" s="7" t="inlineStr">
        <is>
          <t>Moll de Catalunya</t>
        </is>
      </c>
      <c r="D36" s="7" t="inlineStr">
        <is>
          <t>Contenedores</t>
        </is>
      </c>
      <c r="E36" s="7" t="inlineStr">
        <is>
          <t>Noche</t>
        </is>
      </c>
      <c r="F36" s="7" t="n">
        <v>216</v>
      </c>
      <c r="G36" s="7" t="n">
        <v>6</v>
      </c>
    </row>
    <row r="37">
      <c r="A37" s="38" t="n">
        <v>46278</v>
      </c>
      <c r="B37" s="7" t="inlineStr">
        <is>
          <t>MSC Aurora</t>
        </is>
      </c>
      <c r="C37" s="7" t="inlineStr">
        <is>
          <t>Moll de Catalunya</t>
        </is>
      </c>
      <c r="D37" s="7" t="inlineStr">
        <is>
          <t>Granel</t>
        </is>
      </c>
      <c r="E37" s="7" t="inlineStr">
        <is>
          <t>Mañana</t>
        </is>
      </c>
      <c r="F37" s="7" t="n">
        <v>164</v>
      </c>
      <c r="G37" s="7" t="n">
        <v>6</v>
      </c>
    </row>
    <row r="38">
      <c r="A38" s="38" t="n">
        <v>46272</v>
      </c>
      <c r="B38" s="7" t="inlineStr">
        <is>
          <t>Hapag Delta</t>
        </is>
      </c>
      <c r="C38" s="7" t="inlineStr">
        <is>
          <t>Moll de Catalunya</t>
        </is>
      </c>
      <c r="D38" s="7" t="inlineStr">
        <is>
          <t>Contenedores</t>
        </is>
      </c>
      <c r="E38" s="7" t="inlineStr">
        <is>
          <t>Noche</t>
        </is>
      </c>
      <c r="F38" s="7" t="n">
        <v>99</v>
      </c>
      <c r="G38" s="7" t="n">
        <v>8</v>
      </c>
    </row>
  </sheetData>
  <autoFilter ref="A8:G38"/>
  <mergeCells count="5">
    <mergeCell ref="A5:J5"/>
    <mergeCell ref="A6:J6"/>
    <mergeCell ref="A3:J3"/>
    <mergeCell ref="A4:J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4" customWidth="1" min="4" max="4"/>
    <col width="9" customWidth="1" min="5" max="5"/>
    <col width="14" customWidth="1" min="6" max="6"/>
    <col width="11" customWidth="1" min="7" max="7"/>
    <col width="12" customWidth="1" min="9" max="9"/>
    <col width="18" customWidth="1" min="10" max="10"/>
    <col width="18" customWidth="1" min="11" max="11"/>
    <col width="14" customWidth="1" min="12" max="12"/>
    <col width="9" customWidth="1" min="13" max="13"/>
    <col width="14" customWidth="1" min="14" max="14"/>
    <col width="11" customWidth="1" min="15" max="15"/>
  </cols>
  <sheetData>
    <row r="1">
      <c r="A1" s="1" t="inlineStr">
        <is>
          <t>EJERCICIO 7 · Filtro avanzado  (1 punto · para subir nota)</t>
        </is>
      </c>
    </row>
    <row r="2">
      <c r="A2" s="2" t="inlineStr">
        <is>
          <t>El jefe de terminal quiere una lista SOLO con las operaciones del Moll de Catalunya que movieron MÁS de 250 contenedores.</t>
        </is>
      </c>
    </row>
    <row r="3">
      <c r="A3" s="2" t="inlineStr">
        <is>
          <t>La lista tiene que salir copiada a partir de la celda I15, sin tocar la tabla original.</t>
        </is>
      </c>
    </row>
    <row r="4">
      <c r="A4" s="2" t="inlineStr">
        <is>
          <t>Recuerda: primero escribes las condiciones en el RANGO DE CRITERIOS y después vas a Datos &gt; Avanzadas.</t>
        </is>
      </c>
    </row>
    <row r="5">
      <c r="A5" s="10" t="inlineStr">
        <is>
          <t>PASO 1: En las celdas amarillas del rango de criterios escribe:  Moll de Catalunya  (debajo de Terminal)  y  &gt;250  (debajo de Contenedores).</t>
        </is>
      </c>
    </row>
    <row r="6">
      <c r="A6" s="10" t="inlineStr">
        <is>
          <t>PASO 2: Clic dentro de la tabla → Datos &gt; Avanzadas (en el grupo Ordenar y filtrar).</t>
        </is>
      </c>
    </row>
    <row r="7">
      <c r="A7" s="10" t="inlineStr">
        <is>
          <t>PASO 3: Marca 'Copiar a otro lugar'. Rango de la lista: A15:G45 · Rango de criterios: A11:B12 · Copiar a: I15.</t>
        </is>
      </c>
    </row>
    <row r="8">
      <c r="A8" s="10" t="inlineStr">
        <is>
          <t>PASO 4: Acepta y comprueba el resultado. ¿Cuántas operaciones han salido?  Escribe la respuesta en la celda amarilla E12.</t>
        </is>
      </c>
    </row>
    <row r="10">
      <c r="A10" s="16" t="inlineStr">
        <is>
          <t>RANGO DE CRITERIOS</t>
        </is>
      </c>
    </row>
    <row r="11">
      <c r="A11" s="40" t="inlineStr">
        <is>
          <t>Terminal</t>
        </is>
      </c>
      <c r="B11" s="40" t="inlineStr">
        <is>
          <t>Contenedores</t>
        </is>
      </c>
    </row>
    <row r="12">
      <c r="A12" s="4" t="inlineStr">
        <is>
          <t>Moll de Catalunya</t>
        </is>
      </c>
      <c r="B12" s="4" t="inlineStr">
        <is>
          <t>&gt;250</t>
        </is>
      </c>
      <c r="D12" s="41" t="inlineStr">
        <is>
          <t>Nº operaciones:</t>
        </is>
      </c>
      <c r="E12" s="4" t="n">
        <v>5</v>
      </c>
    </row>
    <row r="14">
      <c r="A14" s="10" t="inlineStr">
        <is>
          <t>TABLA ORIGINAL</t>
        </is>
      </c>
      <c r="I14" s="16" t="inlineStr">
        <is>
          <t>RESULTADO (a partir de I15)</t>
        </is>
      </c>
    </row>
    <row r="15">
      <c r="A15" s="6" t="inlineStr">
        <is>
          <t>Fecha</t>
        </is>
      </c>
      <c r="B15" s="6" t="inlineStr">
        <is>
          <t>Buque</t>
        </is>
      </c>
      <c r="C15" s="6" t="inlineStr">
        <is>
          <t>Terminal</t>
        </is>
      </c>
      <c r="D15" s="6" t="inlineStr">
        <is>
          <t>Tipo de carga</t>
        </is>
      </c>
      <c r="E15" s="6" t="inlineStr">
        <is>
          <t>Turno</t>
        </is>
      </c>
      <c r="F15" s="6" t="inlineStr">
        <is>
          <t>Contenedores</t>
        </is>
      </c>
      <c r="G15" s="6" t="inlineStr">
        <is>
          <t>Horas operación</t>
        </is>
      </c>
      <c r="I15" s="6" t="inlineStr">
        <is>
          <t>Fecha</t>
        </is>
      </c>
      <c r="J15" s="6" t="inlineStr">
        <is>
          <t>Buque</t>
        </is>
      </c>
      <c r="K15" s="6" t="inlineStr">
        <is>
          <t>Terminal</t>
        </is>
      </c>
      <c r="L15" s="6" t="inlineStr">
        <is>
          <t>Tipo de carga</t>
        </is>
      </c>
      <c r="M15" s="6" t="inlineStr">
        <is>
          <t>Turno</t>
        </is>
      </c>
      <c r="N15" s="6" t="inlineStr">
        <is>
          <t>Contenedores</t>
        </is>
      </c>
      <c r="O15" s="6" t="inlineStr">
        <is>
          <t>Horas operación</t>
        </is>
      </c>
    </row>
    <row r="16">
      <c r="A16" s="38" t="n">
        <v>46290</v>
      </c>
      <c r="B16" s="7" t="inlineStr">
        <is>
          <t>Hapag Delta</t>
        </is>
      </c>
      <c r="C16" s="7" t="inlineStr">
        <is>
          <t>Moll d'Andalusia</t>
        </is>
      </c>
      <c r="D16" s="7" t="inlineStr">
        <is>
          <t>Granel</t>
        </is>
      </c>
      <c r="E16" s="7" t="inlineStr">
        <is>
          <t>Tarde</t>
        </is>
      </c>
      <c r="F16" s="7" t="n">
        <v>74</v>
      </c>
      <c r="G16" s="7" t="n">
        <v>12</v>
      </c>
      <c r="I16" s="38" t="n">
        <v>46288</v>
      </c>
      <c r="J16" s="7" t="inlineStr">
        <is>
          <t>MSC Aurora</t>
        </is>
      </c>
      <c r="K16" s="7" t="inlineStr">
        <is>
          <t>Moll de Catalunya</t>
        </is>
      </c>
      <c r="L16" s="7" t="inlineStr">
        <is>
          <t>Granel</t>
        </is>
      </c>
      <c r="M16" s="7" t="inlineStr">
        <is>
          <t>Noche</t>
        </is>
      </c>
      <c r="N16" s="7" t="n">
        <v>414</v>
      </c>
      <c r="O16" s="7" t="n">
        <v>12</v>
      </c>
    </row>
    <row r="17">
      <c r="A17" s="38" t="n">
        <v>46288</v>
      </c>
      <c r="B17" s="7" t="inlineStr">
        <is>
          <t>MSC Aurora</t>
        </is>
      </c>
      <c r="C17" s="7" t="inlineStr">
        <is>
          <t>Moll de Catalunya</t>
        </is>
      </c>
      <c r="D17" s="7" t="inlineStr">
        <is>
          <t>Granel</t>
        </is>
      </c>
      <c r="E17" s="7" t="inlineStr">
        <is>
          <t>Noche</t>
        </is>
      </c>
      <c r="F17" s="7" t="n">
        <v>414</v>
      </c>
      <c r="G17" s="7" t="n">
        <v>12</v>
      </c>
      <c r="I17" s="38" t="n">
        <v>46274</v>
      </c>
      <c r="J17" s="7" t="inlineStr">
        <is>
          <t>Maersk Tarragona</t>
        </is>
      </c>
      <c r="K17" s="7" t="inlineStr">
        <is>
          <t>Moll de Catalunya</t>
        </is>
      </c>
      <c r="L17" s="7" t="inlineStr">
        <is>
          <t>Granel</t>
        </is>
      </c>
      <c r="M17" s="7" t="inlineStr">
        <is>
          <t>Mañana</t>
        </is>
      </c>
      <c r="N17" s="7" t="n">
        <v>411</v>
      </c>
      <c r="O17" s="7" t="n">
        <v>6</v>
      </c>
    </row>
    <row r="18">
      <c r="A18" s="38" t="n">
        <v>46292</v>
      </c>
      <c r="B18" s="7" t="inlineStr">
        <is>
          <t>Hapag Delta</t>
        </is>
      </c>
      <c r="C18" s="7" t="inlineStr">
        <is>
          <t>Moll de Catalunya</t>
        </is>
      </c>
      <c r="D18" s="7" t="inlineStr">
        <is>
          <t>Granel</t>
        </is>
      </c>
      <c r="E18" s="7" t="inlineStr">
        <is>
          <t>Noche</t>
        </is>
      </c>
      <c r="F18" s="7" t="n">
        <v>247</v>
      </c>
      <c r="G18" s="7" t="n">
        <v>10</v>
      </c>
      <c r="I18" s="38" t="n">
        <v>46276</v>
      </c>
      <c r="J18" s="7" t="inlineStr">
        <is>
          <t>Maersk Tarragona</t>
        </is>
      </c>
      <c r="K18" s="7" t="inlineStr">
        <is>
          <t>Moll de Catalunya</t>
        </is>
      </c>
      <c r="L18" s="7" t="inlineStr">
        <is>
          <t>Ro-Ro</t>
        </is>
      </c>
      <c r="M18" s="7" t="inlineStr">
        <is>
          <t>Noche</t>
        </is>
      </c>
      <c r="N18" s="7" t="n">
        <v>272</v>
      </c>
      <c r="O18" s="7" t="n">
        <v>10</v>
      </c>
    </row>
    <row r="19">
      <c r="A19" s="38" t="n">
        <v>46285</v>
      </c>
      <c r="B19" s="7" t="inlineStr">
        <is>
          <t>Grimaldi Roma</t>
        </is>
      </c>
      <c r="C19" s="7" t="inlineStr">
        <is>
          <t>Moll de Catalunya</t>
        </is>
      </c>
      <c r="D19" s="7" t="inlineStr">
        <is>
          <t>Granel</t>
        </is>
      </c>
      <c r="E19" s="7" t="inlineStr">
        <is>
          <t>Tarde</t>
        </is>
      </c>
      <c r="F19" s="7" t="n">
        <v>217</v>
      </c>
      <c r="G19" s="7" t="n">
        <v>6</v>
      </c>
      <c r="I19" s="38" t="n">
        <v>46291</v>
      </c>
      <c r="J19" s="7" t="inlineStr">
        <is>
          <t>Evergreen Costa</t>
        </is>
      </c>
      <c r="K19" s="7" t="inlineStr">
        <is>
          <t>Moll de Catalunya</t>
        </is>
      </c>
      <c r="L19" s="7" t="inlineStr">
        <is>
          <t>Ro-Ro</t>
        </is>
      </c>
      <c r="M19" s="7" t="inlineStr">
        <is>
          <t>Noche</t>
        </is>
      </c>
      <c r="N19" s="7" t="n">
        <v>419</v>
      </c>
      <c r="O19" s="7" t="n">
        <v>12</v>
      </c>
    </row>
    <row r="20">
      <c r="A20" s="38" t="n">
        <v>46275</v>
      </c>
      <c r="B20" s="7" t="inlineStr">
        <is>
          <t>Hapag Delta</t>
        </is>
      </c>
      <c r="C20" s="7" t="inlineStr">
        <is>
          <t>Moll de Castella</t>
        </is>
      </c>
      <c r="D20" s="7" t="inlineStr">
        <is>
          <t>Contenedores</t>
        </is>
      </c>
      <c r="E20" s="7" t="inlineStr">
        <is>
          <t>Mañana</t>
        </is>
      </c>
      <c r="F20" s="7" t="n">
        <v>123</v>
      </c>
      <c r="G20" s="7" t="n">
        <v>10</v>
      </c>
      <c r="I20" s="38" t="n">
        <v>46282</v>
      </c>
      <c r="J20" s="7" t="inlineStr">
        <is>
          <t>CMA CGM Ebro</t>
        </is>
      </c>
      <c r="K20" s="7" t="inlineStr">
        <is>
          <t>Moll de Catalunya</t>
        </is>
      </c>
      <c r="L20" s="7" t="inlineStr">
        <is>
          <t>Granel</t>
        </is>
      </c>
      <c r="M20" s="7" t="inlineStr">
        <is>
          <t>Tarde</t>
        </is>
      </c>
      <c r="N20" s="7" t="n">
        <v>303</v>
      </c>
      <c r="O20" s="7" t="n">
        <v>8</v>
      </c>
    </row>
    <row r="21">
      <c r="A21" s="38" t="n">
        <v>46274</v>
      </c>
      <c r="B21" s="7" t="inlineStr">
        <is>
          <t>Maersk Tarragona</t>
        </is>
      </c>
      <c r="C21" s="7" t="inlineStr">
        <is>
          <t>Moll de Catalunya</t>
        </is>
      </c>
      <c r="D21" s="7" t="inlineStr">
        <is>
          <t>Granel</t>
        </is>
      </c>
      <c r="E21" s="7" t="inlineStr">
        <is>
          <t>Mañana</t>
        </is>
      </c>
      <c r="F21" s="7" t="n">
        <v>411</v>
      </c>
      <c r="G21" s="7" t="n">
        <v>6</v>
      </c>
    </row>
    <row r="22">
      <c r="A22" s="38" t="n">
        <v>46293</v>
      </c>
      <c r="B22" s="7" t="inlineStr">
        <is>
          <t>MSC Levante</t>
        </is>
      </c>
      <c r="C22" s="7" t="inlineStr">
        <is>
          <t>Moll de Castella</t>
        </is>
      </c>
      <c r="D22" s="7" t="inlineStr">
        <is>
          <t>Contenedores</t>
        </is>
      </c>
      <c r="E22" s="7" t="inlineStr">
        <is>
          <t>Tarde</t>
        </is>
      </c>
      <c r="F22" s="7" t="n">
        <v>148</v>
      </c>
      <c r="G22" s="7" t="n">
        <v>6</v>
      </c>
    </row>
    <row r="23">
      <c r="A23" s="38" t="n">
        <v>46284</v>
      </c>
      <c r="B23" s="7" t="inlineStr">
        <is>
          <t>ONE Mare</t>
        </is>
      </c>
      <c r="C23" s="7" t="inlineStr">
        <is>
          <t>Moll d'Aragó</t>
        </is>
      </c>
      <c r="D23" s="7" t="inlineStr">
        <is>
          <t>Contenedores</t>
        </is>
      </c>
      <c r="E23" s="7" t="inlineStr">
        <is>
          <t>Mañana</t>
        </is>
      </c>
      <c r="F23" s="7" t="n">
        <v>103</v>
      </c>
      <c r="G23" s="7" t="n">
        <v>4</v>
      </c>
    </row>
    <row r="24">
      <c r="A24" s="38" t="n">
        <v>46281</v>
      </c>
      <c r="B24" s="7" t="inlineStr">
        <is>
          <t>Evergreen Costa</t>
        </is>
      </c>
      <c r="C24" s="7" t="inlineStr">
        <is>
          <t>Moll de Catalunya</t>
        </is>
      </c>
      <c r="D24" s="7" t="inlineStr">
        <is>
          <t>Contenedores</t>
        </is>
      </c>
      <c r="E24" s="7" t="inlineStr">
        <is>
          <t>Noche</t>
        </is>
      </c>
      <c r="F24" s="7" t="n">
        <v>216</v>
      </c>
      <c r="G24" s="7" t="n">
        <v>6</v>
      </c>
    </row>
    <row r="25">
      <c r="A25" s="38" t="n">
        <v>46278</v>
      </c>
      <c r="B25" s="7" t="inlineStr">
        <is>
          <t>MSC Aurora</t>
        </is>
      </c>
      <c r="C25" s="7" t="inlineStr">
        <is>
          <t>Moll de Catalunya</t>
        </is>
      </c>
      <c r="D25" s="7" t="inlineStr">
        <is>
          <t>Granel</t>
        </is>
      </c>
      <c r="E25" s="7" t="inlineStr">
        <is>
          <t>Mañana</t>
        </is>
      </c>
      <c r="F25" s="7" t="n">
        <v>164</v>
      </c>
      <c r="G25" s="7" t="n">
        <v>6</v>
      </c>
    </row>
    <row r="26">
      <c r="A26" s="38" t="n">
        <v>46276</v>
      </c>
      <c r="B26" s="7" t="inlineStr">
        <is>
          <t>Maersk Tarragona</t>
        </is>
      </c>
      <c r="C26" s="7" t="inlineStr">
        <is>
          <t>Moll de Catalunya</t>
        </is>
      </c>
      <c r="D26" s="7" t="inlineStr">
        <is>
          <t>Ro-Ro</t>
        </is>
      </c>
      <c r="E26" s="7" t="inlineStr">
        <is>
          <t>Noche</t>
        </is>
      </c>
      <c r="F26" s="7" t="n">
        <v>272</v>
      </c>
      <c r="G26" s="7" t="n">
        <v>10</v>
      </c>
    </row>
    <row r="27">
      <c r="A27" s="38" t="n">
        <v>46286</v>
      </c>
      <c r="B27" s="7" t="inlineStr">
        <is>
          <t>Hapag Delta</t>
        </is>
      </c>
      <c r="C27" s="7" t="inlineStr">
        <is>
          <t>Moll d'Aragó</t>
        </is>
      </c>
      <c r="D27" s="7" t="inlineStr">
        <is>
          <t>Contenedores</t>
        </is>
      </c>
      <c r="E27" s="7" t="inlineStr">
        <is>
          <t>Noche</t>
        </is>
      </c>
      <c r="F27" s="7" t="n">
        <v>202</v>
      </c>
      <c r="G27" s="7" t="n">
        <v>6</v>
      </c>
    </row>
    <row r="28">
      <c r="A28" s="38" t="n">
        <v>46291</v>
      </c>
      <c r="B28" s="7" t="inlineStr">
        <is>
          <t>Evergreen Costa</t>
        </is>
      </c>
      <c r="C28" s="7" t="inlineStr">
        <is>
          <t>Moll de Catalunya</t>
        </is>
      </c>
      <c r="D28" s="7" t="inlineStr">
        <is>
          <t>Ro-Ro</t>
        </is>
      </c>
      <c r="E28" s="7" t="inlineStr">
        <is>
          <t>Noche</t>
        </is>
      </c>
      <c r="F28" s="7" t="n">
        <v>419</v>
      </c>
      <c r="G28" s="7" t="n">
        <v>12</v>
      </c>
    </row>
    <row r="29">
      <c r="A29" s="38" t="n">
        <v>46282</v>
      </c>
      <c r="B29" s="7" t="inlineStr">
        <is>
          <t>CMA CGM Ebro</t>
        </is>
      </c>
      <c r="C29" s="7" t="inlineStr">
        <is>
          <t>Moll de Catalunya</t>
        </is>
      </c>
      <c r="D29" s="7" t="inlineStr">
        <is>
          <t>Granel</t>
        </is>
      </c>
      <c r="E29" s="7" t="inlineStr">
        <is>
          <t>Tarde</t>
        </is>
      </c>
      <c r="F29" s="7" t="n">
        <v>303</v>
      </c>
      <c r="G29" s="7" t="n">
        <v>8</v>
      </c>
    </row>
    <row r="30">
      <c r="A30" s="38" t="n">
        <v>46268</v>
      </c>
      <c r="B30" s="7" t="inlineStr">
        <is>
          <t>ONE Mare</t>
        </is>
      </c>
      <c r="C30" s="7" t="inlineStr">
        <is>
          <t>Moll d'Andalusia</t>
        </is>
      </c>
      <c r="D30" s="7" t="inlineStr">
        <is>
          <t>Contenedores</t>
        </is>
      </c>
      <c r="E30" s="7" t="inlineStr">
        <is>
          <t>Tarde</t>
        </is>
      </c>
      <c r="F30" s="7" t="n">
        <v>377</v>
      </c>
      <c r="G30" s="7" t="n">
        <v>8</v>
      </c>
    </row>
    <row r="31">
      <c r="A31" s="38" t="n">
        <v>46273</v>
      </c>
      <c r="B31" s="7" t="inlineStr">
        <is>
          <t>MSC Aurora</t>
        </is>
      </c>
      <c r="C31" s="7" t="inlineStr">
        <is>
          <t>Moll d'Aragó</t>
        </is>
      </c>
      <c r="D31" s="7" t="inlineStr">
        <is>
          <t>Ro-Ro</t>
        </is>
      </c>
      <c r="E31" s="7" t="inlineStr">
        <is>
          <t>Tarde</t>
        </is>
      </c>
      <c r="F31" s="7" t="n">
        <v>204</v>
      </c>
      <c r="G31" s="7" t="n">
        <v>6</v>
      </c>
    </row>
    <row r="32">
      <c r="A32" s="38" t="n">
        <v>46280</v>
      </c>
      <c r="B32" s="7" t="inlineStr">
        <is>
          <t>Hapag Delta</t>
        </is>
      </c>
      <c r="C32" s="7" t="inlineStr">
        <is>
          <t>Moll d'Andalusia</t>
        </is>
      </c>
      <c r="D32" s="7" t="inlineStr">
        <is>
          <t>Ro-Ro</t>
        </is>
      </c>
      <c r="E32" s="7" t="inlineStr">
        <is>
          <t>Tarde</t>
        </is>
      </c>
      <c r="F32" s="7" t="n">
        <v>302</v>
      </c>
      <c r="G32" s="7" t="n">
        <v>6</v>
      </c>
    </row>
    <row r="33">
      <c r="A33" s="38" t="n">
        <v>46272</v>
      </c>
      <c r="B33" s="7" t="inlineStr">
        <is>
          <t>Hapag Delta</t>
        </is>
      </c>
      <c r="C33" s="7" t="inlineStr">
        <is>
          <t>Moll de Catalunya</t>
        </is>
      </c>
      <c r="D33" s="7" t="inlineStr">
        <is>
          <t>Contenedores</t>
        </is>
      </c>
      <c r="E33" s="7" t="inlineStr">
        <is>
          <t>Noche</t>
        </is>
      </c>
      <c r="F33" s="7" t="n">
        <v>99</v>
      </c>
      <c r="G33" s="7" t="n">
        <v>8</v>
      </c>
    </row>
    <row r="34">
      <c r="A34" s="38" t="n">
        <v>46270</v>
      </c>
      <c r="B34" s="7" t="inlineStr">
        <is>
          <t>Evergreen Costa</t>
        </is>
      </c>
      <c r="C34" s="7" t="inlineStr">
        <is>
          <t>Moll d'Andalusia</t>
        </is>
      </c>
      <c r="D34" s="7" t="inlineStr">
        <is>
          <t>Contenedores</t>
        </is>
      </c>
      <c r="E34" s="7" t="inlineStr">
        <is>
          <t>Mañana</t>
        </is>
      </c>
      <c r="F34" s="7" t="n">
        <v>341</v>
      </c>
      <c r="G34" s="7" t="n">
        <v>6</v>
      </c>
    </row>
    <row r="35">
      <c r="A35" s="38" t="n">
        <v>46287</v>
      </c>
      <c r="B35" s="7" t="inlineStr">
        <is>
          <t>ONE Mare</t>
        </is>
      </c>
      <c r="C35" s="7" t="inlineStr">
        <is>
          <t>Moll d'Aragó</t>
        </is>
      </c>
      <c r="D35" s="7" t="inlineStr">
        <is>
          <t>Granel</t>
        </is>
      </c>
      <c r="E35" s="7" t="inlineStr">
        <is>
          <t>Tarde</t>
        </is>
      </c>
      <c r="F35" s="7" t="n">
        <v>285</v>
      </c>
      <c r="G35" s="7" t="n">
        <v>10</v>
      </c>
    </row>
    <row r="36">
      <c r="A36" s="38" t="n">
        <v>46289</v>
      </c>
      <c r="B36" s="7" t="inlineStr">
        <is>
          <t>ONE Mare</t>
        </is>
      </c>
      <c r="C36" s="7" t="inlineStr">
        <is>
          <t>Moll de Castella</t>
        </is>
      </c>
      <c r="D36" s="7" t="inlineStr">
        <is>
          <t>Granel</t>
        </is>
      </c>
      <c r="E36" s="7" t="inlineStr">
        <is>
          <t>Mañana</t>
        </is>
      </c>
      <c r="F36" s="7" t="n">
        <v>249</v>
      </c>
      <c r="G36" s="7" t="n">
        <v>12</v>
      </c>
    </row>
    <row r="37">
      <c r="A37" s="38" t="n">
        <v>46295</v>
      </c>
      <c r="B37" s="7" t="inlineStr">
        <is>
          <t>MSC Levante</t>
        </is>
      </c>
      <c r="C37" s="7" t="inlineStr">
        <is>
          <t>Moll de Castella</t>
        </is>
      </c>
      <c r="D37" s="7" t="inlineStr">
        <is>
          <t>Contenedores</t>
        </is>
      </c>
      <c r="E37" s="7" t="inlineStr">
        <is>
          <t>Tarde</t>
        </is>
      </c>
      <c r="F37" s="7" t="n">
        <v>94</v>
      </c>
      <c r="G37" s="7" t="n">
        <v>10</v>
      </c>
    </row>
    <row r="38">
      <c r="A38" s="38" t="n">
        <v>46294</v>
      </c>
      <c r="B38" s="7" t="inlineStr">
        <is>
          <t>Maersk Tarragona</t>
        </is>
      </c>
      <c r="C38" s="7" t="inlineStr">
        <is>
          <t>Moll de Castella</t>
        </is>
      </c>
      <c r="D38" s="7" t="inlineStr">
        <is>
          <t>Contenedores</t>
        </is>
      </c>
      <c r="E38" s="7" t="inlineStr">
        <is>
          <t>Noche</t>
        </is>
      </c>
      <c r="F38" s="7" t="n">
        <v>241</v>
      </c>
      <c r="G38" s="7" t="n">
        <v>4</v>
      </c>
    </row>
    <row r="39">
      <c r="A39" s="38" t="n">
        <v>46269</v>
      </c>
      <c r="B39" s="7" t="inlineStr">
        <is>
          <t>Evergreen Costa</t>
        </is>
      </c>
      <c r="C39" s="7" t="inlineStr">
        <is>
          <t>Moll d'Andalusia</t>
        </is>
      </c>
      <c r="D39" s="7" t="inlineStr">
        <is>
          <t>Granel</t>
        </is>
      </c>
      <c r="E39" s="7" t="inlineStr">
        <is>
          <t>Mañana</t>
        </is>
      </c>
      <c r="F39" s="7" t="n">
        <v>83</v>
      </c>
      <c r="G39" s="7" t="n">
        <v>12</v>
      </c>
    </row>
    <row r="40">
      <c r="A40" s="38" t="n">
        <v>46271</v>
      </c>
      <c r="B40" s="7" t="inlineStr">
        <is>
          <t>MSC Levante</t>
        </is>
      </c>
      <c r="C40" s="7" t="inlineStr">
        <is>
          <t>Moll d'Andalusia</t>
        </is>
      </c>
      <c r="D40" s="7" t="inlineStr">
        <is>
          <t>Ro-Ro</t>
        </is>
      </c>
      <c r="E40" s="7" t="inlineStr">
        <is>
          <t>Tarde</t>
        </is>
      </c>
      <c r="F40" s="7" t="n">
        <v>391</v>
      </c>
      <c r="G40" s="7" t="n">
        <v>10</v>
      </c>
    </row>
    <row r="41">
      <c r="A41" s="38" t="n">
        <v>46266</v>
      </c>
      <c r="B41" s="7" t="inlineStr">
        <is>
          <t>MSC Levante</t>
        </is>
      </c>
      <c r="C41" s="7" t="inlineStr">
        <is>
          <t>Moll de Castella</t>
        </is>
      </c>
      <c r="D41" s="7" t="inlineStr">
        <is>
          <t>Granel</t>
        </is>
      </c>
      <c r="E41" s="7" t="inlineStr">
        <is>
          <t>Tarde</t>
        </is>
      </c>
      <c r="F41" s="7" t="n">
        <v>266</v>
      </c>
      <c r="G41" s="7" t="n">
        <v>6</v>
      </c>
    </row>
    <row r="42">
      <c r="A42" s="38" t="n">
        <v>46267</v>
      </c>
      <c r="B42" s="7" t="inlineStr">
        <is>
          <t>CMA CGM Ebro</t>
        </is>
      </c>
      <c r="C42" s="7" t="inlineStr">
        <is>
          <t>Moll de Catalunya</t>
        </is>
      </c>
      <c r="D42" s="7" t="inlineStr">
        <is>
          <t>Granel</t>
        </is>
      </c>
      <c r="E42" s="7" t="inlineStr">
        <is>
          <t>Noche</t>
        </is>
      </c>
      <c r="F42" s="7" t="n">
        <v>233</v>
      </c>
      <c r="G42" s="7" t="n">
        <v>10</v>
      </c>
    </row>
    <row r="43">
      <c r="A43" s="38" t="n">
        <v>46277</v>
      </c>
      <c r="B43" s="7" t="inlineStr">
        <is>
          <t>CMA CGM Ebro</t>
        </is>
      </c>
      <c r="C43" s="7" t="inlineStr">
        <is>
          <t>Moll d'Andalusia</t>
        </is>
      </c>
      <c r="D43" s="7" t="inlineStr">
        <is>
          <t>Granel</t>
        </is>
      </c>
      <c r="E43" s="7" t="inlineStr">
        <is>
          <t>Noche</t>
        </is>
      </c>
      <c r="F43" s="7" t="n">
        <v>309</v>
      </c>
      <c r="G43" s="7" t="n">
        <v>6</v>
      </c>
    </row>
    <row r="44">
      <c r="A44" s="38" t="n">
        <v>46279</v>
      </c>
      <c r="B44" s="7" t="inlineStr">
        <is>
          <t>Evergreen Costa</t>
        </is>
      </c>
      <c r="C44" s="7" t="inlineStr">
        <is>
          <t>Moll de Catalunya</t>
        </is>
      </c>
      <c r="D44" s="7" t="inlineStr">
        <is>
          <t>Contenedores</t>
        </is>
      </c>
      <c r="E44" s="7" t="inlineStr">
        <is>
          <t>Noche</t>
        </is>
      </c>
      <c r="F44" s="7" t="n">
        <v>221</v>
      </c>
      <c r="G44" s="7" t="n">
        <v>6</v>
      </c>
    </row>
    <row r="45">
      <c r="A45" s="38" t="n">
        <v>46283</v>
      </c>
      <c r="B45" s="7" t="inlineStr">
        <is>
          <t>Maersk Tarragona</t>
        </is>
      </c>
      <c r="C45" s="7" t="inlineStr">
        <is>
          <t>Moll d'Aragó</t>
        </is>
      </c>
      <c r="D45" s="7" t="inlineStr">
        <is>
          <t>Contenedores</t>
        </is>
      </c>
      <c r="E45" s="7" t="inlineStr">
        <is>
          <t>Mañana</t>
        </is>
      </c>
      <c r="F45" s="7" t="n">
        <v>305</v>
      </c>
      <c r="G45" s="7" t="n">
        <v>10</v>
      </c>
    </row>
  </sheetData>
  <mergeCells count="7">
    <mergeCell ref="A5:J5"/>
    <mergeCell ref="A8:J8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2026-10-07T07:31:03Z</dcterms:created>
  <dcterms:modified xmlns:dcterms="http://purl.org/dc/terms/" xmlns:xsi="http://www.w3.org/2001/XMLSchema-instance" xsi:type="dcterms:W3CDTF">2026-10-07T07:31:03Z</dcterms:modified>
</cp:coreProperties>
</file>